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$\Ubuntu-20.04\home\dcole\8bitcpu\8bitcpu.v6\dasm\"/>
    </mc:Choice>
  </mc:AlternateContent>
  <xr:revisionPtr revIDLastSave="0" documentId="13_ncr:1_{B76BC1BD-1B9E-4462-BC65-82ECCFED8AD2}" xr6:coauthVersionLast="46" xr6:coauthVersionMax="46" xr10:uidLastSave="{00000000-0000-0000-0000-000000000000}"/>
  <bookViews>
    <workbookView xWindow="-120" yWindow="-120" windowWidth="29040" windowHeight="15840" xr2:uid="{E941516A-5AF5-4D90-9B60-3E736592BDB7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6" i="1" l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B2" i="2"/>
  <c r="B3" i="2"/>
  <c r="B4" i="2"/>
  <c r="B5" i="2"/>
  <c r="B6" i="2"/>
  <c r="B7" i="2"/>
  <c r="B8" i="2"/>
  <c r="B1" i="2"/>
  <c r="AX5" i="1" l="1"/>
</calcChain>
</file>

<file path=xl/sharedStrings.xml><?xml version="1.0" encoding="utf-8"?>
<sst xmlns="http://schemas.openxmlformats.org/spreadsheetml/2006/main" count="66" uniqueCount="65">
  <si>
    <t>Instruction</t>
  </si>
  <si>
    <t>OpCode</t>
  </si>
  <si>
    <t>Opcode Hex</t>
  </si>
  <si>
    <t>Memory Controller</t>
  </si>
  <si>
    <t>Jump/Branch Controller</t>
  </si>
  <si>
    <t>ALU Controller</t>
  </si>
  <si>
    <t>Mem Ctrlr Opcode</t>
  </si>
  <si>
    <t>J/B Ctrlr Opcode</t>
  </si>
  <si>
    <t>ALU Ctrlr Opcode</t>
  </si>
  <si>
    <t>RAM WE</t>
  </si>
  <si>
    <t>RAM CE</t>
  </si>
  <si>
    <t>RAM OE</t>
  </si>
  <si>
    <t>1d</t>
  </si>
  <si>
    <t>1e</t>
  </si>
  <si>
    <t>P2i</t>
  </si>
  <si>
    <t>JMP</t>
  </si>
  <si>
    <t>JCF</t>
  </si>
  <si>
    <t>BLT</t>
  </si>
  <si>
    <t>BEQ</t>
  </si>
  <si>
    <t>BGT</t>
  </si>
  <si>
    <t>ADDER</t>
  </si>
  <si>
    <t>LOGIC</t>
  </si>
  <si>
    <t>ABr</t>
  </si>
  <si>
    <t>ABi</t>
  </si>
  <si>
    <t>Write Reg</t>
  </si>
  <si>
    <t>Reg Port 1</t>
  </si>
  <si>
    <t>Reg Port 2</t>
  </si>
  <si>
    <t>DB     |    AB</t>
  </si>
  <si>
    <t>XOR      |          P1</t>
  </si>
  <si>
    <t>AND            |           OR</t>
  </si>
  <si>
    <t>ADD          |               SUB</t>
  </si>
  <si>
    <t>NOP</t>
  </si>
  <si>
    <t>HLT</t>
  </si>
  <si>
    <t>LDR PW,MAR</t>
  </si>
  <si>
    <t>LDR PW,P2(i)</t>
  </si>
  <si>
    <t>LDR PW,iAdr</t>
  </si>
  <si>
    <t>LDR MAR,i</t>
  </si>
  <si>
    <t>STR P2,iAdr</t>
  </si>
  <si>
    <t>STR P2,MAR </t>
  </si>
  <si>
    <t>BLT P1,P2,LABEL</t>
  </si>
  <si>
    <t>JMP LABEL</t>
  </si>
  <si>
    <t>BLE P1,P2,LABEL </t>
  </si>
  <si>
    <t>BEQ P1,P2,LABEL </t>
  </si>
  <si>
    <t>BNE P1,P2,LABEL</t>
  </si>
  <si>
    <t>BGE P1,P2,LABEL</t>
  </si>
  <si>
    <t>BGT P1,P2,LABEL</t>
  </si>
  <si>
    <t>ADD P1,P2(i),PW</t>
  </si>
  <si>
    <t>ADD P1,P2,PW,LABEL</t>
  </si>
  <si>
    <t>SUB P1,P2(i),PW</t>
  </si>
  <si>
    <t>SUB P1,P2,PW,LABEL</t>
  </si>
  <si>
    <t>NOT P2,PW </t>
  </si>
  <si>
    <t>AND P1,P2(i),PW </t>
  </si>
  <si>
    <t>NND P1,P2(i),PW </t>
  </si>
  <si>
    <t>ORR P1,P2(i),PW</t>
  </si>
  <si>
    <t>NOR P1,P2(i),PW</t>
  </si>
  <si>
    <t>XOR P1,P2(i),PW </t>
  </si>
  <si>
    <t>MAR</t>
  </si>
  <si>
    <t>P2    to        DB</t>
  </si>
  <si>
    <t>P1 to LOG</t>
  </si>
  <si>
    <t>STR P2(i),EP </t>
  </si>
  <si>
    <t>EPR</t>
  </si>
  <si>
    <t>EP  OE</t>
  </si>
  <si>
    <t>EP  DIR</t>
  </si>
  <si>
    <t>LDR PW,EPS</t>
  </si>
  <si>
    <t>LDR PW,EP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</si>
</sst>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scadia Mono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E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0" borderId="1" xfId="0" applyFont="1" applyBorder="1"/>
    <xf numFmtId="0" fontId="2" fillId="7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CFFC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ECD"/>
      <color rgb="FFFF9966"/>
      <color rgb="FFFFFDF3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D5556-D6BC-466E-862D-E920310D0613}">
  <dimension ref="A1:AY80"/>
  <sheetViews>
    <sheetView tabSelected="1" zoomScale="80" zoomScaleNormal="80" workbookViewId="0">
      <pane ySplit="4" topLeftCell="A5" activePane="bottomLeft" state="frozen"/>
      <selection pane="bottomLeft" activeCell="Z31" sqref="Z31"/>
    </sheetView>
  </sheetViews>
  <sheetFormatPr defaultRowHeight="16.5" x14ac:dyDescent="0.25"/>
  <cols>
    <col min="1" max="1" width="24.85546875" style="8" bestFit="1" customWidth="1"/>
    <col min="2" max="8" width="4.28515625" style="1" customWidth="1"/>
    <col min="9" max="9" width="5.140625" style="1" bestFit="1" customWidth="1"/>
    <col min="10" max="17" width="4.28515625" style="1" customWidth="1"/>
    <col min="18" max="27" width="5" style="9" customWidth="1"/>
    <col min="28" max="39" width="5" style="10" customWidth="1"/>
    <col min="40" max="41" width="5" style="9" customWidth="1"/>
    <col min="42" max="42" width="5.140625" style="9" customWidth="1"/>
    <col min="43" max="44" width="5" style="9" customWidth="1"/>
    <col min="45" max="45" width="5.140625" style="9" customWidth="1"/>
    <col min="46" max="46" width="5" style="9" customWidth="1"/>
    <col min="47" max="47" width="5.28515625" style="9" customWidth="1"/>
    <col min="48" max="50" width="10.5703125" style="9" customWidth="1"/>
    <col min="51" max="16384" width="9.140625" style="1"/>
  </cols>
  <sheetData>
    <row r="1" spans="1:51" x14ac:dyDescent="0.25">
      <c r="A1" s="29" t="s">
        <v>0</v>
      </c>
      <c r="B1" s="32" t="s">
        <v>24</v>
      </c>
      <c r="C1" s="32"/>
      <c r="D1" s="32"/>
      <c r="E1" s="31" t="s">
        <v>25</v>
      </c>
      <c r="F1" s="31"/>
      <c r="G1" s="31"/>
      <c r="H1" s="15"/>
      <c r="I1" s="25" t="s">
        <v>14</v>
      </c>
      <c r="J1" s="28" t="s">
        <v>26</v>
      </c>
      <c r="K1" s="28"/>
      <c r="L1" s="28"/>
      <c r="M1" s="26" t="s">
        <v>1</v>
      </c>
      <c r="N1" s="27"/>
      <c r="O1" s="27"/>
      <c r="P1" s="27"/>
      <c r="Q1" s="27"/>
      <c r="R1" s="54" t="s">
        <v>3</v>
      </c>
      <c r="S1" s="37"/>
      <c r="T1" s="37"/>
      <c r="U1" s="37"/>
      <c r="V1" s="37"/>
      <c r="W1" s="37"/>
      <c r="X1" s="37"/>
      <c r="Y1" s="37"/>
      <c r="Z1" s="37"/>
      <c r="AA1" s="38"/>
      <c r="AB1" s="34" t="s">
        <v>4</v>
      </c>
      <c r="AC1" s="35"/>
      <c r="AD1" s="35"/>
      <c r="AE1" s="35"/>
      <c r="AF1" s="35"/>
      <c r="AG1" s="35"/>
      <c r="AH1" s="35"/>
      <c r="AI1" s="35"/>
      <c r="AJ1" s="35"/>
      <c r="AK1" s="36"/>
      <c r="AL1" s="46" t="s">
        <v>5</v>
      </c>
      <c r="AM1" s="47"/>
      <c r="AN1" s="47"/>
      <c r="AO1" s="47"/>
      <c r="AP1" s="47"/>
      <c r="AQ1" s="47"/>
      <c r="AR1" s="47"/>
      <c r="AS1" s="47"/>
      <c r="AT1" s="47"/>
      <c r="AU1" s="48"/>
      <c r="AV1" s="45" t="s">
        <v>6</v>
      </c>
      <c r="AW1" s="44" t="s">
        <v>7</v>
      </c>
      <c r="AX1" s="43" t="s">
        <v>8</v>
      </c>
      <c r="AY1" s="30" t="s">
        <v>2</v>
      </c>
    </row>
    <row r="2" spans="1:51" x14ac:dyDescent="0.25">
      <c r="A2" s="29"/>
      <c r="B2" s="2">
        <v>15</v>
      </c>
      <c r="C2" s="2">
        <v>14</v>
      </c>
      <c r="D2" s="2">
        <v>13</v>
      </c>
      <c r="E2" s="2">
        <v>12</v>
      </c>
      <c r="F2" s="2">
        <v>11</v>
      </c>
      <c r="G2" s="2">
        <v>10</v>
      </c>
      <c r="H2" s="2">
        <v>9</v>
      </c>
      <c r="I2" s="2">
        <v>8</v>
      </c>
      <c r="J2" s="2">
        <v>7</v>
      </c>
      <c r="K2" s="2">
        <v>6</v>
      </c>
      <c r="L2" s="2">
        <v>5</v>
      </c>
      <c r="M2" s="2">
        <v>4</v>
      </c>
      <c r="N2" s="2">
        <v>3</v>
      </c>
      <c r="O2" s="2">
        <v>2</v>
      </c>
      <c r="P2" s="2">
        <v>1</v>
      </c>
      <c r="Q2" s="49">
        <v>0</v>
      </c>
      <c r="R2" s="6">
        <v>9</v>
      </c>
      <c r="S2" s="3">
        <v>8</v>
      </c>
      <c r="T2" s="3">
        <v>7</v>
      </c>
      <c r="U2" s="3">
        <v>6</v>
      </c>
      <c r="V2" s="3">
        <v>5</v>
      </c>
      <c r="W2" s="3">
        <v>4</v>
      </c>
      <c r="X2" s="3">
        <v>3</v>
      </c>
      <c r="Y2" s="3">
        <v>2</v>
      </c>
      <c r="Z2" s="3">
        <v>1</v>
      </c>
      <c r="AA2" s="3">
        <v>0</v>
      </c>
      <c r="AB2" s="2">
        <v>9</v>
      </c>
      <c r="AC2" s="2">
        <v>8</v>
      </c>
      <c r="AD2" s="2">
        <v>7</v>
      </c>
      <c r="AE2" s="2">
        <v>6</v>
      </c>
      <c r="AF2" s="2">
        <v>5</v>
      </c>
      <c r="AG2" s="2">
        <v>4</v>
      </c>
      <c r="AH2" s="2">
        <v>3</v>
      </c>
      <c r="AI2" s="2">
        <v>2</v>
      </c>
      <c r="AJ2" s="2">
        <v>1</v>
      </c>
      <c r="AK2" s="2">
        <v>0</v>
      </c>
      <c r="AL2" s="3">
        <v>9</v>
      </c>
      <c r="AM2" s="3">
        <v>8</v>
      </c>
      <c r="AN2" s="3">
        <v>7</v>
      </c>
      <c r="AO2" s="3">
        <v>6</v>
      </c>
      <c r="AP2" s="3">
        <v>5</v>
      </c>
      <c r="AQ2" s="3">
        <v>4</v>
      </c>
      <c r="AR2" s="3">
        <v>3</v>
      </c>
      <c r="AS2" s="3">
        <v>2</v>
      </c>
      <c r="AT2" s="3">
        <v>1</v>
      </c>
      <c r="AU2" s="3">
        <v>0</v>
      </c>
      <c r="AV2" s="45"/>
      <c r="AW2" s="44"/>
      <c r="AX2" s="43"/>
      <c r="AY2" s="30"/>
    </row>
    <row r="3" spans="1:51" ht="16.5" customHeight="1" x14ac:dyDescent="0.25">
      <c r="A3" s="29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50"/>
      <c r="R3" s="52"/>
      <c r="S3" s="39" t="s">
        <v>32</v>
      </c>
      <c r="T3" s="33" t="s">
        <v>56</v>
      </c>
      <c r="U3" s="33" t="s">
        <v>27</v>
      </c>
      <c r="V3" s="33" t="s">
        <v>57</v>
      </c>
      <c r="W3" s="33" t="s">
        <v>22</v>
      </c>
      <c r="X3" s="33" t="s">
        <v>23</v>
      </c>
      <c r="Y3" s="33" t="s">
        <v>9</v>
      </c>
      <c r="Z3" s="33" t="s">
        <v>11</v>
      </c>
      <c r="AA3" s="33" t="s">
        <v>10</v>
      </c>
      <c r="AB3" s="41"/>
      <c r="AC3" s="41"/>
      <c r="AD3" s="30" t="s">
        <v>60</v>
      </c>
      <c r="AE3" s="30" t="s">
        <v>62</v>
      </c>
      <c r="AF3" s="41" t="s">
        <v>61</v>
      </c>
      <c r="AG3" s="30" t="s">
        <v>19</v>
      </c>
      <c r="AH3" s="30" t="s">
        <v>18</v>
      </c>
      <c r="AI3" s="30" t="s">
        <v>17</v>
      </c>
      <c r="AJ3" s="30" t="s">
        <v>16</v>
      </c>
      <c r="AK3" s="30" t="s">
        <v>15</v>
      </c>
      <c r="AL3" s="39"/>
      <c r="AM3" s="39"/>
      <c r="AN3" s="39"/>
      <c r="AO3" s="33"/>
      <c r="AP3" s="33" t="s">
        <v>58</v>
      </c>
      <c r="AQ3" s="33" t="s">
        <v>28</v>
      </c>
      <c r="AR3" s="33" t="s">
        <v>29</v>
      </c>
      <c r="AS3" s="33" t="s">
        <v>21</v>
      </c>
      <c r="AT3" s="33" t="s">
        <v>30</v>
      </c>
      <c r="AU3" s="33" t="s">
        <v>20</v>
      </c>
      <c r="AV3" s="45"/>
      <c r="AW3" s="44"/>
      <c r="AX3" s="43"/>
      <c r="AY3" s="30"/>
    </row>
    <row r="4" spans="1:51" ht="32.25" customHeight="1" x14ac:dyDescent="0.25">
      <c r="A4" s="29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50"/>
      <c r="R4" s="53"/>
      <c r="S4" s="40"/>
      <c r="T4" s="33"/>
      <c r="U4" s="33"/>
      <c r="V4" s="33"/>
      <c r="W4" s="33"/>
      <c r="X4" s="33"/>
      <c r="Y4" s="33"/>
      <c r="Z4" s="33"/>
      <c r="AA4" s="33"/>
      <c r="AB4" s="42"/>
      <c r="AC4" s="42"/>
      <c r="AD4" s="30"/>
      <c r="AE4" s="30"/>
      <c r="AF4" s="42"/>
      <c r="AG4" s="30"/>
      <c r="AH4" s="30"/>
      <c r="AI4" s="30"/>
      <c r="AJ4" s="30"/>
      <c r="AK4" s="30"/>
      <c r="AL4" s="40"/>
      <c r="AM4" s="40"/>
      <c r="AN4" s="40"/>
      <c r="AO4" s="33"/>
      <c r="AP4" s="33"/>
      <c r="AQ4" s="33"/>
      <c r="AR4" s="33"/>
      <c r="AS4" s="33"/>
      <c r="AT4" s="33"/>
      <c r="AU4" s="33"/>
      <c r="AV4" s="45"/>
      <c r="AW4" s="44"/>
      <c r="AX4" s="43"/>
      <c r="AY4" s="30"/>
    </row>
    <row r="5" spans="1:51" ht="18" customHeight="1" x14ac:dyDescent="0.25">
      <c r="A5" s="19" t="s">
        <v>31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5">
        <v>0</v>
      </c>
      <c r="J5" s="6">
        <v>0</v>
      </c>
      <c r="K5" s="3">
        <v>0</v>
      </c>
      <c r="L5" s="3">
        <v>0</v>
      </c>
      <c r="M5" s="18">
        <v>0</v>
      </c>
      <c r="N5" s="18">
        <v>0</v>
      </c>
      <c r="O5" s="18">
        <v>0</v>
      </c>
      <c r="P5" s="18">
        <v>0</v>
      </c>
      <c r="Q5" s="51">
        <v>0</v>
      </c>
      <c r="R5" s="6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">
        <v>0</v>
      </c>
      <c r="AC5" s="2">
        <v>0</v>
      </c>
      <c r="AD5" s="2">
        <v>0</v>
      </c>
      <c r="AE5" s="15">
        <v>0</v>
      </c>
      <c r="AF5" s="15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 t="str">
        <f t="shared" ref="AV5:AV36" si="0">CONCATENATE(BIN2HEX(CONCATENATE(R5,S5),1),BIN2HEX(CONCATENATE(T5,U5,V5,W5,X5,Y5,Z5,AA5),2))</f>
        <v>000</v>
      </c>
      <c r="AW5" s="3" t="str">
        <f t="shared" ref="AW5:AW36" si="1">CONCATENATE(BIN2HEX(CONCATENATE(AB5,AC5),1),BIN2HEX(CONCATENATE(AD5,AE5,AF5,AG5,AH5,AI5,AJ5,AK5),2))</f>
        <v>000</v>
      </c>
      <c r="AX5" s="3" t="str">
        <f t="shared" ref="AX5:AX36" si="2">CONCATENATE(BIN2HEX(CONCATENATE(AL5,AM5),1),BIN2HEX(CONCATENATE(AN5,AO5,AP5,AQ5,AR5,AS5,AT5,AU5),2))</f>
        <v>000</v>
      </c>
      <c r="AY5" s="2" t="str">
        <f>BIN2HEX(CONCATENATE(M5,N5,O5,P5,Q5),2)</f>
        <v>00</v>
      </c>
    </row>
    <row r="6" spans="1:51" ht="18" customHeight="1" x14ac:dyDescent="0.25">
      <c r="A6" s="19" t="s">
        <v>32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5">
        <v>0</v>
      </c>
      <c r="J6" s="6">
        <v>0</v>
      </c>
      <c r="K6" s="3">
        <v>0</v>
      </c>
      <c r="L6" s="3">
        <v>0</v>
      </c>
      <c r="M6" s="18">
        <v>0</v>
      </c>
      <c r="N6" s="18">
        <v>0</v>
      </c>
      <c r="O6" s="18">
        <v>0</v>
      </c>
      <c r="P6" s="18">
        <v>0</v>
      </c>
      <c r="Q6" s="51">
        <v>1</v>
      </c>
      <c r="R6" s="6">
        <v>0</v>
      </c>
      <c r="S6" s="3">
        <v>1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12">
        <v>0</v>
      </c>
      <c r="AC6" s="12">
        <v>0</v>
      </c>
      <c r="AD6" s="12">
        <v>0</v>
      </c>
      <c r="AE6" s="15">
        <v>0</v>
      </c>
      <c r="AF6" s="15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 t="str">
        <f t="shared" si="0"/>
        <v>100</v>
      </c>
      <c r="AW6" s="3" t="str">
        <f t="shared" si="1"/>
        <v>000</v>
      </c>
      <c r="AX6" s="3" t="str">
        <f t="shared" si="2"/>
        <v>000</v>
      </c>
      <c r="AY6" s="15" t="str">
        <f>BIN2HEX(CONCATENATE(M6,N6,O6,P6,Q6),2)</f>
        <v>01</v>
      </c>
    </row>
    <row r="7" spans="1:51" ht="18" customHeight="1" x14ac:dyDescent="0.25">
      <c r="A7" s="19" t="s">
        <v>33</v>
      </c>
      <c r="B7" s="14">
        <v>0</v>
      </c>
      <c r="C7" s="14">
        <v>0</v>
      </c>
      <c r="D7" s="14">
        <v>0</v>
      </c>
      <c r="E7" s="3">
        <v>0</v>
      </c>
      <c r="F7" s="3">
        <v>0</v>
      </c>
      <c r="G7" s="3">
        <v>0</v>
      </c>
      <c r="H7" s="3">
        <v>0</v>
      </c>
      <c r="I7" s="5">
        <v>0</v>
      </c>
      <c r="J7" s="6">
        <v>0</v>
      </c>
      <c r="K7" s="3">
        <v>0</v>
      </c>
      <c r="L7" s="3">
        <v>0</v>
      </c>
      <c r="M7" s="18">
        <v>0</v>
      </c>
      <c r="N7" s="18">
        <v>0</v>
      </c>
      <c r="O7" s="18">
        <v>0</v>
      </c>
      <c r="P7" s="18">
        <v>1</v>
      </c>
      <c r="Q7" s="51">
        <v>0</v>
      </c>
      <c r="R7" s="6">
        <v>0</v>
      </c>
      <c r="S7" s="3">
        <v>0</v>
      </c>
      <c r="T7" s="3">
        <v>0</v>
      </c>
      <c r="U7" s="3">
        <v>0</v>
      </c>
      <c r="V7" s="3">
        <v>0</v>
      </c>
      <c r="W7" s="3">
        <v>1</v>
      </c>
      <c r="X7" s="3">
        <v>0</v>
      </c>
      <c r="Y7" s="3">
        <v>0</v>
      </c>
      <c r="Z7" s="3">
        <v>1</v>
      </c>
      <c r="AA7" s="3">
        <v>1</v>
      </c>
      <c r="AB7" s="12">
        <v>0</v>
      </c>
      <c r="AC7" s="12">
        <v>0</v>
      </c>
      <c r="AD7" s="12">
        <v>0</v>
      </c>
      <c r="AE7" s="15">
        <v>0</v>
      </c>
      <c r="AF7" s="15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 t="str">
        <f t="shared" si="0"/>
        <v>013</v>
      </c>
      <c r="AW7" s="3" t="str">
        <f t="shared" si="1"/>
        <v>000</v>
      </c>
      <c r="AX7" s="3" t="str">
        <f t="shared" si="2"/>
        <v>000</v>
      </c>
      <c r="AY7" s="15" t="str">
        <f>BIN2HEX(CONCATENATE(M7,N7,O7,P7,Q7),2)</f>
        <v>02</v>
      </c>
    </row>
    <row r="8" spans="1:51" ht="18" customHeight="1" x14ac:dyDescent="0.25">
      <c r="A8" s="19" t="s">
        <v>34</v>
      </c>
      <c r="B8" s="14">
        <v>0</v>
      </c>
      <c r="C8" s="14">
        <v>0</v>
      </c>
      <c r="D8" s="14">
        <v>0</v>
      </c>
      <c r="E8" s="3">
        <v>0</v>
      </c>
      <c r="F8" s="3">
        <v>0</v>
      </c>
      <c r="G8" s="3">
        <v>0</v>
      </c>
      <c r="H8" s="3">
        <v>0</v>
      </c>
      <c r="I8" s="5">
        <v>0</v>
      </c>
      <c r="J8" s="20">
        <v>0</v>
      </c>
      <c r="K8" s="7">
        <v>0</v>
      </c>
      <c r="L8" s="17">
        <v>0</v>
      </c>
      <c r="M8" s="18">
        <v>0</v>
      </c>
      <c r="N8" s="18">
        <v>0</v>
      </c>
      <c r="O8" s="18">
        <v>0</v>
      </c>
      <c r="P8" s="18">
        <v>1</v>
      </c>
      <c r="Q8" s="51">
        <v>1</v>
      </c>
      <c r="R8" s="6">
        <v>0</v>
      </c>
      <c r="S8" s="3">
        <v>0</v>
      </c>
      <c r="T8" s="3">
        <v>0</v>
      </c>
      <c r="U8" s="3">
        <v>0</v>
      </c>
      <c r="V8" s="3">
        <v>1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12">
        <v>0</v>
      </c>
      <c r="AC8" s="12">
        <v>0</v>
      </c>
      <c r="AD8" s="12">
        <v>0</v>
      </c>
      <c r="AE8" s="15">
        <v>0</v>
      </c>
      <c r="AF8" s="15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 t="str">
        <f t="shared" si="0"/>
        <v>020</v>
      </c>
      <c r="AW8" s="3" t="str">
        <f t="shared" si="1"/>
        <v>000</v>
      </c>
      <c r="AX8" s="3" t="str">
        <f t="shared" si="2"/>
        <v>000</v>
      </c>
      <c r="AY8" s="15" t="str">
        <f>BIN2HEX(CONCATENATE(M8,N8,O8,P8,Q8),2)</f>
        <v>03</v>
      </c>
    </row>
    <row r="9" spans="1:51" ht="18" customHeight="1" x14ac:dyDescent="0.25">
      <c r="A9" s="19" t="s">
        <v>35</v>
      </c>
      <c r="B9" s="14">
        <v>0</v>
      </c>
      <c r="C9" s="14">
        <v>0</v>
      </c>
      <c r="D9" s="14">
        <v>0</v>
      </c>
      <c r="E9" s="3">
        <v>0</v>
      </c>
      <c r="F9" s="3">
        <v>0</v>
      </c>
      <c r="G9" s="3">
        <v>0</v>
      </c>
      <c r="H9" s="3">
        <v>0</v>
      </c>
      <c r="I9" s="5">
        <v>0</v>
      </c>
      <c r="J9" s="6">
        <v>0</v>
      </c>
      <c r="K9" s="3">
        <v>0</v>
      </c>
      <c r="L9" s="3">
        <v>0</v>
      </c>
      <c r="M9" s="18">
        <v>0</v>
      </c>
      <c r="N9" s="18">
        <v>0</v>
      </c>
      <c r="O9" s="18">
        <v>1</v>
      </c>
      <c r="P9" s="18">
        <v>0</v>
      </c>
      <c r="Q9" s="51">
        <v>0</v>
      </c>
      <c r="R9" s="6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1</v>
      </c>
      <c r="Y9" s="3">
        <v>0</v>
      </c>
      <c r="Z9" s="3">
        <v>1</v>
      </c>
      <c r="AA9" s="3">
        <v>1</v>
      </c>
      <c r="AB9" s="12">
        <v>0</v>
      </c>
      <c r="AC9" s="12">
        <v>0</v>
      </c>
      <c r="AD9" s="12">
        <v>0</v>
      </c>
      <c r="AE9" s="15">
        <v>0</v>
      </c>
      <c r="AF9" s="15">
        <v>0</v>
      </c>
      <c r="AG9" s="12">
        <v>0</v>
      </c>
      <c r="AH9" s="12">
        <v>0</v>
      </c>
      <c r="AI9" s="12">
        <v>0</v>
      </c>
      <c r="AJ9" s="12">
        <v>0</v>
      </c>
      <c r="AK9" s="12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 t="str">
        <f t="shared" si="0"/>
        <v>00B</v>
      </c>
      <c r="AW9" s="3" t="str">
        <f t="shared" si="1"/>
        <v>000</v>
      </c>
      <c r="AX9" s="3" t="str">
        <f t="shared" si="2"/>
        <v>000</v>
      </c>
      <c r="AY9" s="15" t="str">
        <f>BIN2HEX(CONCATENATE(M9,N9,O9,P9,Q9),2)</f>
        <v>04</v>
      </c>
    </row>
    <row r="10" spans="1:51" ht="18" customHeight="1" x14ac:dyDescent="0.25">
      <c r="A10" s="19" t="s">
        <v>36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5">
        <v>0</v>
      </c>
      <c r="J10" s="6">
        <v>0</v>
      </c>
      <c r="K10" s="3">
        <v>0</v>
      </c>
      <c r="L10" s="3">
        <v>0</v>
      </c>
      <c r="M10" s="18">
        <v>0</v>
      </c>
      <c r="N10" s="18">
        <v>0</v>
      </c>
      <c r="O10" s="18">
        <v>1</v>
      </c>
      <c r="P10" s="18">
        <v>0</v>
      </c>
      <c r="Q10" s="51">
        <v>1</v>
      </c>
      <c r="R10" s="6">
        <v>0</v>
      </c>
      <c r="S10" s="3">
        <v>0</v>
      </c>
      <c r="T10" s="3">
        <v>1</v>
      </c>
      <c r="U10" s="3">
        <v>1</v>
      </c>
      <c r="V10" s="3">
        <v>0</v>
      </c>
      <c r="W10" s="3">
        <v>0</v>
      </c>
      <c r="X10" s="3">
        <v>1</v>
      </c>
      <c r="Y10" s="3">
        <v>0</v>
      </c>
      <c r="Z10" s="3">
        <v>0</v>
      </c>
      <c r="AA10" s="3">
        <v>0</v>
      </c>
      <c r="AB10" s="12">
        <v>0</v>
      </c>
      <c r="AC10" s="12">
        <v>0</v>
      </c>
      <c r="AD10" s="12">
        <v>0</v>
      </c>
      <c r="AE10" s="15">
        <v>0</v>
      </c>
      <c r="AF10" s="15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 t="str">
        <f t="shared" si="0"/>
        <v>0C8</v>
      </c>
      <c r="AW10" s="3" t="str">
        <f t="shared" si="1"/>
        <v>000</v>
      </c>
      <c r="AX10" s="3" t="str">
        <f t="shared" si="2"/>
        <v>000</v>
      </c>
      <c r="AY10" s="15" t="str">
        <f>BIN2HEX(CONCATENATE(M10,N10,O10,P10,Q10),2)</f>
        <v>05</v>
      </c>
    </row>
    <row r="11" spans="1:51" ht="18" customHeight="1" x14ac:dyDescent="0.25">
      <c r="A11" s="19" t="s">
        <v>37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5">
        <v>0</v>
      </c>
      <c r="J11" s="20">
        <v>0</v>
      </c>
      <c r="K11" s="7">
        <v>0</v>
      </c>
      <c r="L11" s="17">
        <v>0</v>
      </c>
      <c r="M11" s="18">
        <v>0</v>
      </c>
      <c r="N11" s="18">
        <v>0</v>
      </c>
      <c r="O11" s="18">
        <v>1</v>
      </c>
      <c r="P11" s="18">
        <v>1</v>
      </c>
      <c r="Q11" s="51">
        <v>0</v>
      </c>
      <c r="R11" s="6">
        <v>0</v>
      </c>
      <c r="S11" s="3">
        <v>0</v>
      </c>
      <c r="T11" s="3">
        <v>0</v>
      </c>
      <c r="U11" s="3">
        <v>0</v>
      </c>
      <c r="V11" s="3">
        <v>1</v>
      </c>
      <c r="W11" s="3">
        <v>0</v>
      </c>
      <c r="X11" s="3">
        <v>1</v>
      </c>
      <c r="Y11" s="3">
        <v>1</v>
      </c>
      <c r="Z11" s="3">
        <v>0</v>
      </c>
      <c r="AA11" s="3">
        <v>1</v>
      </c>
      <c r="AB11" s="12">
        <v>0</v>
      </c>
      <c r="AC11" s="12">
        <v>0</v>
      </c>
      <c r="AD11" s="12">
        <v>0</v>
      </c>
      <c r="AE11" s="15">
        <v>0</v>
      </c>
      <c r="AF11" s="15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 t="str">
        <f t="shared" si="0"/>
        <v>02D</v>
      </c>
      <c r="AW11" s="3" t="str">
        <f t="shared" si="1"/>
        <v>000</v>
      </c>
      <c r="AX11" s="3" t="str">
        <f t="shared" si="2"/>
        <v>000</v>
      </c>
      <c r="AY11" s="15" t="str">
        <f>BIN2HEX(CONCATENATE(M11,N11,O11,P11,Q11),2)</f>
        <v>06</v>
      </c>
    </row>
    <row r="12" spans="1:51" ht="18" customHeight="1" x14ac:dyDescent="0.25">
      <c r="A12" s="19" t="s">
        <v>38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5">
        <v>0</v>
      </c>
      <c r="J12" s="20">
        <v>0</v>
      </c>
      <c r="K12" s="7">
        <v>0</v>
      </c>
      <c r="L12" s="17">
        <v>0</v>
      </c>
      <c r="M12" s="18">
        <v>0</v>
      </c>
      <c r="N12" s="18">
        <v>0</v>
      </c>
      <c r="O12" s="18">
        <v>1</v>
      </c>
      <c r="P12" s="18">
        <v>1</v>
      </c>
      <c r="Q12" s="51">
        <v>1</v>
      </c>
      <c r="R12" s="6">
        <v>0</v>
      </c>
      <c r="S12" s="3">
        <v>0</v>
      </c>
      <c r="T12" s="3">
        <v>0</v>
      </c>
      <c r="U12" s="3">
        <v>0</v>
      </c>
      <c r="V12" s="3">
        <v>1</v>
      </c>
      <c r="W12" s="3">
        <v>1</v>
      </c>
      <c r="X12" s="3">
        <v>0</v>
      </c>
      <c r="Y12" s="3">
        <v>1</v>
      </c>
      <c r="Z12" s="3">
        <v>0</v>
      </c>
      <c r="AA12" s="3">
        <v>1</v>
      </c>
      <c r="AB12" s="12">
        <v>0</v>
      </c>
      <c r="AC12" s="12">
        <v>0</v>
      </c>
      <c r="AD12" s="12">
        <v>0</v>
      </c>
      <c r="AE12" s="15">
        <v>0</v>
      </c>
      <c r="AF12" s="15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 t="str">
        <f t="shared" si="0"/>
        <v>035</v>
      </c>
      <c r="AW12" s="3" t="str">
        <f t="shared" si="1"/>
        <v>000</v>
      </c>
      <c r="AX12" s="3" t="str">
        <f t="shared" si="2"/>
        <v>000</v>
      </c>
      <c r="AY12" s="15" t="str">
        <f>BIN2HEX(CONCATENATE(M12,N12,O12,P12,Q12),2)</f>
        <v>07</v>
      </c>
    </row>
    <row r="13" spans="1:51" ht="18" customHeight="1" x14ac:dyDescent="0.25">
      <c r="A13" s="19" t="s">
        <v>40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5">
        <v>0</v>
      </c>
      <c r="J13" s="6">
        <v>0</v>
      </c>
      <c r="K13" s="3">
        <v>0</v>
      </c>
      <c r="L13" s="3">
        <v>0</v>
      </c>
      <c r="M13" s="18">
        <v>0</v>
      </c>
      <c r="N13" s="18">
        <v>1</v>
      </c>
      <c r="O13" s="18">
        <v>0</v>
      </c>
      <c r="P13" s="18">
        <v>0</v>
      </c>
      <c r="Q13" s="51">
        <v>0</v>
      </c>
      <c r="R13" s="6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1</v>
      </c>
      <c r="Y13" s="3">
        <v>0</v>
      </c>
      <c r="Z13" s="3">
        <v>0</v>
      </c>
      <c r="AA13" s="3">
        <v>0</v>
      </c>
      <c r="AB13" s="12">
        <v>0</v>
      </c>
      <c r="AC13" s="12">
        <v>0</v>
      </c>
      <c r="AD13" s="12">
        <v>0</v>
      </c>
      <c r="AE13" s="15">
        <v>0</v>
      </c>
      <c r="AF13" s="15">
        <v>0</v>
      </c>
      <c r="AG13" s="15">
        <v>0</v>
      </c>
      <c r="AH13" s="15">
        <v>0</v>
      </c>
      <c r="AI13" s="15">
        <v>0</v>
      </c>
      <c r="AJ13" s="12">
        <v>0</v>
      </c>
      <c r="AK13" s="12">
        <v>1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 t="str">
        <f t="shared" si="0"/>
        <v>008</v>
      </c>
      <c r="AW13" s="3" t="str">
        <f t="shared" si="1"/>
        <v>001</v>
      </c>
      <c r="AX13" s="3" t="str">
        <f t="shared" si="2"/>
        <v>000</v>
      </c>
      <c r="AY13" s="15" t="str">
        <f>BIN2HEX(CONCATENATE(M13,N13,O13,P13,Q13),2)</f>
        <v>08</v>
      </c>
    </row>
    <row r="14" spans="1:51" ht="18" customHeight="1" x14ac:dyDescent="0.25">
      <c r="A14" s="19" t="s">
        <v>39</v>
      </c>
      <c r="B14" s="3">
        <v>0</v>
      </c>
      <c r="C14" s="3">
        <v>0</v>
      </c>
      <c r="D14" s="3">
        <v>0</v>
      </c>
      <c r="E14" s="13">
        <v>0</v>
      </c>
      <c r="F14" s="13">
        <v>0</v>
      </c>
      <c r="G14" s="13">
        <v>0</v>
      </c>
      <c r="H14" s="3">
        <v>0</v>
      </c>
      <c r="I14" s="5">
        <v>0</v>
      </c>
      <c r="J14" s="20">
        <v>0</v>
      </c>
      <c r="K14" s="7">
        <v>0</v>
      </c>
      <c r="L14" s="17">
        <v>0</v>
      </c>
      <c r="M14" s="18">
        <v>0</v>
      </c>
      <c r="N14" s="18">
        <v>1</v>
      </c>
      <c r="O14" s="18">
        <v>0</v>
      </c>
      <c r="P14" s="18">
        <v>0</v>
      </c>
      <c r="Q14" s="51">
        <v>1</v>
      </c>
      <c r="R14" s="6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1</v>
      </c>
      <c r="Y14" s="3">
        <v>0</v>
      </c>
      <c r="Z14" s="3">
        <v>0</v>
      </c>
      <c r="AA14" s="3">
        <v>0</v>
      </c>
      <c r="AB14" s="12">
        <v>0</v>
      </c>
      <c r="AC14" s="12">
        <v>0</v>
      </c>
      <c r="AD14" s="12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1</v>
      </c>
      <c r="AJ14" s="12">
        <v>0</v>
      </c>
      <c r="AK14" s="12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 t="str">
        <f t="shared" si="0"/>
        <v>008</v>
      </c>
      <c r="AW14" s="3" t="str">
        <f t="shared" si="1"/>
        <v>004</v>
      </c>
      <c r="AX14" s="3" t="str">
        <f t="shared" si="2"/>
        <v>000</v>
      </c>
      <c r="AY14" s="15" t="str">
        <f>BIN2HEX(CONCATENATE(M14,N14,O14,P14,Q14),2)</f>
        <v>09</v>
      </c>
    </row>
    <row r="15" spans="1:51" ht="18" customHeight="1" x14ac:dyDescent="0.25">
      <c r="A15" s="19" t="s">
        <v>41</v>
      </c>
      <c r="B15" s="3">
        <v>0</v>
      </c>
      <c r="C15" s="3">
        <v>0</v>
      </c>
      <c r="D15" s="3">
        <v>0</v>
      </c>
      <c r="E15" s="13">
        <v>0</v>
      </c>
      <c r="F15" s="13">
        <v>0</v>
      </c>
      <c r="G15" s="13">
        <v>0</v>
      </c>
      <c r="H15" s="3">
        <v>0</v>
      </c>
      <c r="I15" s="5">
        <v>0</v>
      </c>
      <c r="J15" s="20">
        <v>0</v>
      </c>
      <c r="K15" s="7">
        <v>0</v>
      </c>
      <c r="L15" s="17">
        <v>0</v>
      </c>
      <c r="M15" s="18">
        <v>0</v>
      </c>
      <c r="N15" s="18">
        <v>1</v>
      </c>
      <c r="O15" s="18">
        <v>0</v>
      </c>
      <c r="P15" s="18">
        <v>1</v>
      </c>
      <c r="Q15" s="51">
        <v>0</v>
      </c>
      <c r="R15" s="6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1</v>
      </c>
      <c r="Y15" s="3">
        <v>0</v>
      </c>
      <c r="Z15" s="3">
        <v>0</v>
      </c>
      <c r="AA15" s="3">
        <v>0</v>
      </c>
      <c r="AB15" s="12">
        <v>0</v>
      </c>
      <c r="AC15" s="12">
        <v>0</v>
      </c>
      <c r="AD15" s="12">
        <v>0</v>
      </c>
      <c r="AE15" s="15">
        <v>0</v>
      </c>
      <c r="AF15" s="15">
        <v>0</v>
      </c>
      <c r="AG15" s="15">
        <v>0</v>
      </c>
      <c r="AH15" s="15">
        <v>1</v>
      </c>
      <c r="AI15" s="15">
        <v>1</v>
      </c>
      <c r="AJ15" s="12">
        <v>0</v>
      </c>
      <c r="AK15" s="12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 t="str">
        <f t="shared" si="0"/>
        <v>008</v>
      </c>
      <c r="AW15" s="3" t="str">
        <f t="shared" si="1"/>
        <v>00C</v>
      </c>
      <c r="AX15" s="3" t="str">
        <f t="shared" si="2"/>
        <v>000</v>
      </c>
      <c r="AY15" s="15" t="str">
        <f>BIN2HEX(CONCATENATE(M15,N15,O15,P15,Q15),2)</f>
        <v>0A</v>
      </c>
    </row>
    <row r="16" spans="1:51" ht="18" customHeight="1" x14ac:dyDescent="0.25">
      <c r="A16" s="19" t="s">
        <v>42</v>
      </c>
      <c r="B16" s="3">
        <v>0</v>
      </c>
      <c r="C16" s="3">
        <v>0</v>
      </c>
      <c r="D16" s="3">
        <v>0</v>
      </c>
      <c r="E16" s="13">
        <v>0</v>
      </c>
      <c r="F16" s="13">
        <v>0</v>
      </c>
      <c r="G16" s="13">
        <v>0</v>
      </c>
      <c r="H16" s="3">
        <v>0</v>
      </c>
      <c r="I16" s="5">
        <v>0</v>
      </c>
      <c r="J16" s="20">
        <v>0</v>
      </c>
      <c r="K16" s="7">
        <v>0</v>
      </c>
      <c r="L16" s="17">
        <v>0</v>
      </c>
      <c r="M16" s="18">
        <v>0</v>
      </c>
      <c r="N16" s="18">
        <v>1</v>
      </c>
      <c r="O16" s="18">
        <v>0</v>
      </c>
      <c r="P16" s="18">
        <v>1</v>
      </c>
      <c r="Q16" s="51">
        <v>1</v>
      </c>
      <c r="R16" s="6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1</v>
      </c>
      <c r="Y16" s="3">
        <v>0</v>
      </c>
      <c r="Z16" s="3">
        <v>0</v>
      </c>
      <c r="AA16" s="3">
        <v>0</v>
      </c>
      <c r="AB16" s="12">
        <v>0</v>
      </c>
      <c r="AC16" s="12">
        <v>0</v>
      </c>
      <c r="AD16" s="12">
        <v>0</v>
      </c>
      <c r="AE16" s="15">
        <v>0</v>
      </c>
      <c r="AF16" s="15">
        <v>0</v>
      </c>
      <c r="AG16" s="15">
        <v>0</v>
      </c>
      <c r="AH16" s="15">
        <v>1</v>
      </c>
      <c r="AI16" s="15">
        <v>0</v>
      </c>
      <c r="AJ16" s="12">
        <v>0</v>
      </c>
      <c r="AK16" s="12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 t="str">
        <f t="shared" si="0"/>
        <v>008</v>
      </c>
      <c r="AW16" s="3" t="str">
        <f t="shared" si="1"/>
        <v>008</v>
      </c>
      <c r="AX16" s="3" t="str">
        <f t="shared" si="2"/>
        <v>000</v>
      </c>
      <c r="AY16" s="15" t="str">
        <f>BIN2HEX(CONCATENATE(M16,N16,O16,P16,Q16),2)</f>
        <v>0B</v>
      </c>
    </row>
    <row r="17" spans="1:51" ht="18" customHeight="1" x14ac:dyDescent="0.25">
      <c r="A17" s="19" t="s">
        <v>43</v>
      </c>
      <c r="B17" s="3">
        <v>0</v>
      </c>
      <c r="C17" s="3">
        <v>0</v>
      </c>
      <c r="D17" s="3">
        <v>0</v>
      </c>
      <c r="E17" s="13">
        <v>0</v>
      </c>
      <c r="F17" s="13">
        <v>0</v>
      </c>
      <c r="G17" s="13">
        <v>0</v>
      </c>
      <c r="H17" s="3">
        <v>0</v>
      </c>
      <c r="I17" s="5">
        <v>0</v>
      </c>
      <c r="J17" s="20">
        <v>0</v>
      </c>
      <c r="K17" s="7">
        <v>0</v>
      </c>
      <c r="L17" s="17">
        <v>0</v>
      </c>
      <c r="M17" s="18">
        <v>0</v>
      </c>
      <c r="N17" s="18">
        <v>1</v>
      </c>
      <c r="O17" s="18">
        <v>1</v>
      </c>
      <c r="P17" s="18">
        <v>0</v>
      </c>
      <c r="Q17" s="51">
        <v>0</v>
      </c>
      <c r="R17" s="6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1</v>
      </c>
      <c r="Y17" s="3">
        <v>0</v>
      </c>
      <c r="Z17" s="3">
        <v>0</v>
      </c>
      <c r="AA17" s="3">
        <v>0</v>
      </c>
      <c r="AB17" s="12">
        <v>0</v>
      </c>
      <c r="AC17" s="12">
        <v>0</v>
      </c>
      <c r="AD17" s="12">
        <v>0</v>
      </c>
      <c r="AE17" s="15">
        <v>0</v>
      </c>
      <c r="AF17" s="15">
        <v>0</v>
      </c>
      <c r="AG17" s="15">
        <v>1</v>
      </c>
      <c r="AH17" s="15">
        <v>0</v>
      </c>
      <c r="AI17" s="15">
        <v>1</v>
      </c>
      <c r="AJ17" s="12">
        <v>0</v>
      </c>
      <c r="AK17" s="12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 t="str">
        <f t="shared" si="0"/>
        <v>008</v>
      </c>
      <c r="AW17" s="3" t="str">
        <f t="shared" si="1"/>
        <v>014</v>
      </c>
      <c r="AX17" s="3" t="str">
        <f t="shared" si="2"/>
        <v>000</v>
      </c>
      <c r="AY17" s="15" t="str">
        <f>BIN2HEX(CONCATENATE(M17,N17,O17,P17,Q17),2)</f>
        <v>0C</v>
      </c>
    </row>
    <row r="18" spans="1:51" ht="18" customHeight="1" x14ac:dyDescent="0.25">
      <c r="A18" s="19" t="s">
        <v>44</v>
      </c>
      <c r="B18" s="3">
        <v>0</v>
      </c>
      <c r="C18" s="3">
        <v>0</v>
      </c>
      <c r="D18" s="3">
        <v>0</v>
      </c>
      <c r="E18" s="13">
        <v>0</v>
      </c>
      <c r="F18" s="13">
        <v>0</v>
      </c>
      <c r="G18" s="13">
        <v>0</v>
      </c>
      <c r="H18" s="3">
        <v>0</v>
      </c>
      <c r="I18" s="5">
        <v>0</v>
      </c>
      <c r="J18" s="20">
        <v>0</v>
      </c>
      <c r="K18" s="7">
        <v>0</v>
      </c>
      <c r="L18" s="17">
        <v>0</v>
      </c>
      <c r="M18" s="18">
        <v>0</v>
      </c>
      <c r="N18" s="18">
        <v>1</v>
      </c>
      <c r="O18" s="18">
        <v>1</v>
      </c>
      <c r="P18" s="18">
        <v>0</v>
      </c>
      <c r="Q18" s="51">
        <v>1</v>
      </c>
      <c r="R18" s="6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1</v>
      </c>
      <c r="Y18" s="3">
        <v>0</v>
      </c>
      <c r="Z18" s="3">
        <v>0</v>
      </c>
      <c r="AA18" s="3">
        <v>0</v>
      </c>
      <c r="AB18" s="12">
        <v>0</v>
      </c>
      <c r="AC18" s="12">
        <v>0</v>
      </c>
      <c r="AD18" s="12">
        <v>0</v>
      </c>
      <c r="AE18" s="15">
        <v>0</v>
      </c>
      <c r="AF18" s="15">
        <v>0</v>
      </c>
      <c r="AG18" s="15">
        <v>1</v>
      </c>
      <c r="AH18" s="15">
        <v>1</v>
      </c>
      <c r="AI18" s="15">
        <v>0</v>
      </c>
      <c r="AJ18" s="12">
        <v>0</v>
      </c>
      <c r="AK18" s="12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 t="str">
        <f t="shared" si="0"/>
        <v>008</v>
      </c>
      <c r="AW18" s="3" t="str">
        <f t="shared" si="1"/>
        <v>018</v>
      </c>
      <c r="AX18" s="3" t="str">
        <f t="shared" si="2"/>
        <v>000</v>
      </c>
      <c r="AY18" s="15" t="str">
        <f>BIN2HEX(CONCATENATE(M18,N18,O18,P18,Q18),2)</f>
        <v>0D</v>
      </c>
    </row>
    <row r="19" spans="1:51" ht="18" customHeight="1" x14ac:dyDescent="0.25">
      <c r="A19" s="19" t="s">
        <v>45</v>
      </c>
      <c r="B19" s="3">
        <v>0</v>
      </c>
      <c r="C19" s="3">
        <v>0</v>
      </c>
      <c r="D19" s="3">
        <v>0</v>
      </c>
      <c r="E19" s="13">
        <v>0</v>
      </c>
      <c r="F19" s="13">
        <v>0</v>
      </c>
      <c r="G19" s="13">
        <v>0</v>
      </c>
      <c r="H19" s="3">
        <v>0</v>
      </c>
      <c r="I19" s="5">
        <v>0</v>
      </c>
      <c r="J19" s="20">
        <v>0</v>
      </c>
      <c r="K19" s="7">
        <v>0</v>
      </c>
      <c r="L19" s="17">
        <v>0</v>
      </c>
      <c r="M19" s="18">
        <v>0</v>
      </c>
      <c r="N19" s="18">
        <v>1</v>
      </c>
      <c r="O19" s="18">
        <v>1</v>
      </c>
      <c r="P19" s="18">
        <v>1</v>
      </c>
      <c r="Q19" s="51">
        <v>0</v>
      </c>
      <c r="R19" s="6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12">
        <v>0</v>
      </c>
      <c r="AC19" s="12">
        <v>0</v>
      </c>
      <c r="AD19" s="12">
        <v>0</v>
      </c>
      <c r="AE19" s="15">
        <v>0</v>
      </c>
      <c r="AF19" s="15">
        <v>0</v>
      </c>
      <c r="AG19" s="15">
        <v>1</v>
      </c>
      <c r="AH19" s="15">
        <v>0</v>
      </c>
      <c r="AI19" s="15">
        <v>0</v>
      </c>
      <c r="AJ19" s="12">
        <v>0</v>
      </c>
      <c r="AK19" s="12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 t="str">
        <f t="shared" si="0"/>
        <v>008</v>
      </c>
      <c r="AW19" s="3" t="str">
        <f t="shared" si="1"/>
        <v>010</v>
      </c>
      <c r="AX19" s="3" t="str">
        <f t="shared" si="2"/>
        <v>000</v>
      </c>
      <c r="AY19" s="15" t="str">
        <f>BIN2HEX(CONCATENATE(M19,N19,O19,P19,Q19),2)</f>
        <v>0E</v>
      </c>
    </row>
    <row r="20" spans="1:51" ht="18" customHeight="1" x14ac:dyDescent="0.25">
      <c r="A20" s="19" t="s">
        <v>46</v>
      </c>
      <c r="B20" s="14">
        <v>0</v>
      </c>
      <c r="C20" s="14">
        <v>0</v>
      </c>
      <c r="D20" s="14">
        <v>0</v>
      </c>
      <c r="E20" s="13">
        <v>0</v>
      </c>
      <c r="F20" s="13">
        <v>0</v>
      </c>
      <c r="G20" s="13">
        <v>0</v>
      </c>
      <c r="H20" s="3">
        <v>0</v>
      </c>
      <c r="I20" s="5">
        <v>0</v>
      </c>
      <c r="J20" s="20">
        <v>0</v>
      </c>
      <c r="K20" s="7">
        <v>0</v>
      </c>
      <c r="L20" s="17">
        <v>0</v>
      </c>
      <c r="M20" s="18">
        <v>0</v>
      </c>
      <c r="N20" s="18">
        <v>1</v>
      </c>
      <c r="O20" s="18">
        <v>1</v>
      </c>
      <c r="P20" s="18">
        <v>1</v>
      </c>
      <c r="Q20" s="51">
        <v>1</v>
      </c>
      <c r="R20" s="6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12">
        <v>0</v>
      </c>
      <c r="AC20" s="12">
        <v>0</v>
      </c>
      <c r="AD20" s="12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0</v>
      </c>
      <c r="AJ20" s="12">
        <v>0</v>
      </c>
      <c r="AK20" s="12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1</v>
      </c>
      <c r="AS20" s="3">
        <v>0</v>
      </c>
      <c r="AT20" s="3">
        <v>0</v>
      </c>
      <c r="AU20" s="3">
        <v>1</v>
      </c>
      <c r="AV20" s="3" t="str">
        <f t="shared" si="0"/>
        <v>000</v>
      </c>
      <c r="AW20" s="3" t="str">
        <f t="shared" si="1"/>
        <v>000</v>
      </c>
      <c r="AX20" s="3" t="str">
        <f t="shared" si="2"/>
        <v>009</v>
      </c>
      <c r="AY20" s="15" t="str">
        <f>BIN2HEX(CONCATENATE(M20,N20,O20,P20,Q20),2)</f>
        <v>0F</v>
      </c>
    </row>
    <row r="21" spans="1:51" ht="18" customHeight="1" x14ac:dyDescent="0.25">
      <c r="A21" s="19" t="s">
        <v>47</v>
      </c>
      <c r="B21" s="14">
        <v>0</v>
      </c>
      <c r="C21" s="14">
        <v>0</v>
      </c>
      <c r="D21" s="14">
        <v>0</v>
      </c>
      <c r="E21" s="13">
        <v>0</v>
      </c>
      <c r="F21" s="13">
        <v>0</v>
      </c>
      <c r="G21" s="13">
        <v>0</v>
      </c>
      <c r="H21" s="3">
        <v>0</v>
      </c>
      <c r="I21" s="5">
        <v>0</v>
      </c>
      <c r="J21" s="20">
        <v>0</v>
      </c>
      <c r="K21" s="7">
        <v>0</v>
      </c>
      <c r="L21" s="17">
        <v>0</v>
      </c>
      <c r="M21" s="18">
        <v>1</v>
      </c>
      <c r="N21" s="18">
        <v>0</v>
      </c>
      <c r="O21" s="18">
        <v>0</v>
      </c>
      <c r="P21" s="18">
        <v>0</v>
      </c>
      <c r="Q21" s="51">
        <v>0</v>
      </c>
      <c r="R21" s="6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1</v>
      </c>
      <c r="Y21" s="3">
        <v>0</v>
      </c>
      <c r="Z21" s="3">
        <v>0</v>
      </c>
      <c r="AA21" s="3">
        <v>0</v>
      </c>
      <c r="AB21" s="12">
        <v>0</v>
      </c>
      <c r="AC21" s="12">
        <v>0</v>
      </c>
      <c r="AD21" s="12">
        <v>0</v>
      </c>
      <c r="AE21" s="15">
        <v>0</v>
      </c>
      <c r="AF21" s="15">
        <v>0</v>
      </c>
      <c r="AG21" s="12">
        <v>0</v>
      </c>
      <c r="AH21" s="12">
        <v>0</v>
      </c>
      <c r="AI21" s="12">
        <v>0</v>
      </c>
      <c r="AJ21" s="12">
        <v>1</v>
      </c>
      <c r="AK21" s="12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1</v>
      </c>
      <c r="AS21" s="3">
        <v>0</v>
      </c>
      <c r="AT21" s="3">
        <v>0</v>
      </c>
      <c r="AU21" s="3">
        <v>1</v>
      </c>
      <c r="AV21" s="3" t="str">
        <f t="shared" si="0"/>
        <v>008</v>
      </c>
      <c r="AW21" s="3" t="str">
        <f t="shared" si="1"/>
        <v>002</v>
      </c>
      <c r="AX21" s="3" t="str">
        <f t="shared" si="2"/>
        <v>009</v>
      </c>
      <c r="AY21" s="15" t="str">
        <f>BIN2HEX(CONCATENATE(M21,N21,O21,P21,Q21),2)</f>
        <v>10</v>
      </c>
    </row>
    <row r="22" spans="1:51" ht="18" customHeight="1" x14ac:dyDescent="0.25">
      <c r="A22" s="19" t="s">
        <v>48</v>
      </c>
      <c r="B22" s="14">
        <v>0</v>
      </c>
      <c r="C22" s="14">
        <v>0</v>
      </c>
      <c r="D22" s="14">
        <v>0</v>
      </c>
      <c r="E22" s="13">
        <v>0</v>
      </c>
      <c r="F22" s="13">
        <v>0</v>
      </c>
      <c r="G22" s="13">
        <v>0</v>
      </c>
      <c r="H22" s="3">
        <v>0</v>
      </c>
      <c r="I22" s="5">
        <v>0</v>
      </c>
      <c r="J22" s="20">
        <v>0</v>
      </c>
      <c r="K22" s="7">
        <v>0</v>
      </c>
      <c r="L22" s="17">
        <v>0</v>
      </c>
      <c r="M22" s="18">
        <v>1</v>
      </c>
      <c r="N22" s="18">
        <v>0</v>
      </c>
      <c r="O22" s="18">
        <v>0</v>
      </c>
      <c r="P22" s="18">
        <v>0</v>
      </c>
      <c r="Q22" s="51">
        <v>1</v>
      </c>
      <c r="R22" s="6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12">
        <v>0</v>
      </c>
      <c r="AC22" s="12">
        <v>0</v>
      </c>
      <c r="AD22" s="12">
        <v>0</v>
      </c>
      <c r="AE22" s="15">
        <v>0</v>
      </c>
      <c r="AF22" s="15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1</v>
      </c>
      <c r="AS22" s="3">
        <v>0</v>
      </c>
      <c r="AT22" s="3">
        <v>1</v>
      </c>
      <c r="AU22" s="3">
        <v>1</v>
      </c>
      <c r="AV22" s="3" t="str">
        <f t="shared" si="0"/>
        <v>000</v>
      </c>
      <c r="AW22" s="3" t="str">
        <f t="shared" si="1"/>
        <v>000</v>
      </c>
      <c r="AX22" s="3" t="str">
        <f t="shared" si="2"/>
        <v>00B</v>
      </c>
      <c r="AY22" s="15" t="str">
        <f>BIN2HEX(CONCATENATE(M22,N22,O22,P22,Q22),2)</f>
        <v>11</v>
      </c>
    </row>
    <row r="23" spans="1:51" ht="18" customHeight="1" x14ac:dyDescent="0.25">
      <c r="A23" s="19" t="s">
        <v>49</v>
      </c>
      <c r="B23" s="14">
        <v>0</v>
      </c>
      <c r="C23" s="14">
        <v>0</v>
      </c>
      <c r="D23" s="14">
        <v>0</v>
      </c>
      <c r="E23" s="13">
        <v>0</v>
      </c>
      <c r="F23" s="13">
        <v>0</v>
      </c>
      <c r="G23" s="13">
        <v>0</v>
      </c>
      <c r="H23" s="3">
        <v>0</v>
      </c>
      <c r="I23" s="5">
        <v>0</v>
      </c>
      <c r="J23" s="20">
        <v>0</v>
      </c>
      <c r="K23" s="7">
        <v>0</v>
      </c>
      <c r="L23" s="17">
        <v>0</v>
      </c>
      <c r="M23" s="18">
        <v>1</v>
      </c>
      <c r="N23" s="18">
        <v>0</v>
      </c>
      <c r="O23" s="18">
        <v>0</v>
      </c>
      <c r="P23" s="18">
        <v>1</v>
      </c>
      <c r="Q23" s="51">
        <v>0</v>
      </c>
      <c r="R23" s="6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1</v>
      </c>
      <c r="Y23" s="3">
        <v>0</v>
      </c>
      <c r="Z23" s="3">
        <v>0</v>
      </c>
      <c r="AA23" s="3">
        <v>0</v>
      </c>
      <c r="AB23" s="12">
        <v>0</v>
      </c>
      <c r="AC23" s="12">
        <v>0</v>
      </c>
      <c r="AD23" s="12">
        <v>0</v>
      </c>
      <c r="AE23" s="15">
        <v>0</v>
      </c>
      <c r="AF23" s="15">
        <v>0</v>
      </c>
      <c r="AG23" s="12">
        <v>0</v>
      </c>
      <c r="AH23" s="12">
        <v>0</v>
      </c>
      <c r="AI23" s="12">
        <v>0</v>
      </c>
      <c r="AJ23" s="12">
        <v>1</v>
      </c>
      <c r="AK23" s="12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1</v>
      </c>
      <c r="AS23" s="3">
        <v>0</v>
      </c>
      <c r="AT23" s="3">
        <v>1</v>
      </c>
      <c r="AU23" s="3">
        <v>1</v>
      </c>
      <c r="AV23" s="3" t="str">
        <f t="shared" si="0"/>
        <v>008</v>
      </c>
      <c r="AW23" s="3" t="str">
        <f t="shared" si="1"/>
        <v>002</v>
      </c>
      <c r="AX23" s="3" t="str">
        <f t="shared" si="2"/>
        <v>00B</v>
      </c>
      <c r="AY23" s="15" t="str">
        <f>BIN2HEX(CONCATENATE(M23,N23,O23,P23,Q23),2)</f>
        <v>12</v>
      </c>
    </row>
    <row r="24" spans="1:51" ht="18" customHeight="1" x14ac:dyDescent="0.25">
      <c r="A24" s="19" t="s">
        <v>51</v>
      </c>
      <c r="B24" s="14">
        <v>0</v>
      </c>
      <c r="C24" s="14">
        <v>0</v>
      </c>
      <c r="D24" s="14">
        <v>0</v>
      </c>
      <c r="E24" s="13">
        <v>0</v>
      </c>
      <c r="F24" s="13">
        <v>0</v>
      </c>
      <c r="G24" s="13">
        <v>0</v>
      </c>
      <c r="H24" s="3">
        <v>0</v>
      </c>
      <c r="I24" s="5">
        <v>0</v>
      </c>
      <c r="J24" s="20">
        <v>0</v>
      </c>
      <c r="K24" s="7">
        <v>0</v>
      </c>
      <c r="L24" s="17">
        <v>0</v>
      </c>
      <c r="M24" s="18">
        <v>1</v>
      </c>
      <c r="N24" s="18">
        <v>0</v>
      </c>
      <c r="O24" s="18">
        <v>0</v>
      </c>
      <c r="P24" s="18">
        <v>1</v>
      </c>
      <c r="Q24" s="51">
        <v>1</v>
      </c>
      <c r="R24" s="6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12">
        <v>0</v>
      </c>
      <c r="AC24" s="12">
        <v>0</v>
      </c>
      <c r="AD24" s="12">
        <v>0</v>
      </c>
      <c r="AE24" s="15">
        <v>0</v>
      </c>
      <c r="AF24" s="15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3">
        <v>0</v>
      </c>
      <c r="AM24" s="3">
        <v>0</v>
      </c>
      <c r="AN24" s="3">
        <v>0</v>
      </c>
      <c r="AO24" s="3">
        <v>0</v>
      </c>
      <c r="AP24" s="3">
        <v>1</v>
      </c>
      <c r="AQ24" s="3">
        <v>0</v>
      </c>
      <c r="AR24" s="3">
        <v>0</v>
      </c>
      <c r="AS24" s="3">
        <v>1</v>
      </c>
      <c r="AT24" s="3">
        <v>0</v>
      </c>
      <c r="AU24" s="3">
        <v>0</v>
      </c>
      <c r="AV24" s="3" t="str">
        <f t="shared" si="0"/>
        <v>000</v>
      </c>
      <c r="AW24" s="3" t="str">
        <f t="shared" si="1"/>
        <v>000</v>
      </c>
      <c r="AX24" s="3" t="str">
        <f t="shared" si="2"/>
        <v>024</v>
      </c>
      <c r="AY24" s="15" t="str">
        <f>BIN2HEX(CONCATENATE(M24,N24,O24,P24,Q24),2)</f>
        <v>13</v>
      </c>
    </row>
    <row r="25" spans="1:51" ht="18" customHeight="1" x14ac:dyDescent="0.25">
      <c r="A25" s="19" t="s">
        <v>52</v>
      </c>
      <c r="B25" s="14">
        <v>0</v>
      </c>
      <c r="C25" s="14">
        <v>0</v>
      </c>
      <c r="D25" s="14">
        <v>0</v>
      </c>
      <c r="E25" s="13">
        <v>0</v>
      </c>
      <c r="F25" s="13">
        <v>0</v>
      </c>
      <c r="G25" s="13">
        <v>0</v>
      </c>
      <c r="H25" s="3">
        <v>0</v>
      </c>
      <c r="I25" s="5">
        <v>0</v>
      </c>
      <c r="J25" s="20">
        <v>0</v>
      </c>
      <c r="K25" s="7">
        <v>0</v>
      </c>
      <c r="L25" s="17">
        <v>0</v>
      </c>
      <c r="M25" s="18">
        <v>1</v>
      </c>
      <c r="N25" s="18">
        <v>0</v>
      </c>
      <c r="O25" s="18">
        <v>1</v>
      </c>
      <c r="P25" s="18">
        <v>0</v>
      </c>
      <c r="Q25" s="51">
        <v>0</v>
      </c>
      <c r="R25" s="6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12">
        <v>0</v>
      </c>
      <c r="AC25" s="12">
        <v>0</v>
      </c>
      <c r="AD25" s="12">
        <v>0</v>
      </c>
      <c r="AE25" s="15">
        <v>0</v>
      </c>
      <c r="AF25" s="15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3">
        <v>0</v>
      </c>
      <c r="AM25" s="3">
        <v>0</v>
      </c>
      <c r="AN25" s="3">
        <v>0</v>
      </c>
      <c r="AO25" s="3">
        <v>0</v>
      </c>
      <c r="AP25" s="3">
        <v>1</v>
      </c>
      <c r="AQ25" s="3">
        <v>0</v>
      </c>
      <c r="AR25" s="3">
        <v>0</v>
      </c>
      <c r="AS25" s="3">
        <v>1</v>
      </c>
      <c r="AT25" s="3">
        <v>1</v>
      </c>
      <c r="AU25" s="3">
        <v>0</v>
      </c>
      <c r="AV25" s="3" t="str">
        <f t="shared" si="0"/>
        <v>000</v>
      </c>
      <c r="AW25" s="3" t="str">
        <f t="shared" si="1"/>
        <v>000</v>
      </c>
      <c r="AX25" s="3" t="str">
        <f t="shared" si="2"/>
        <v>026</v>
      </c>
      <c r="AY25" s="15" t="str">
        <f>BIN2HEX(CONCATENATE(M25,N25,O25,P25,Q25),2)</f>
        <v>14</v>
      </c>
    </row>
    <row r="26" spans="1:51" ht="18" customHeight="1" x14ac:dyDescent="0.25">
      <c r="A26" s="19" t="s">
        <v>53</v>
      </c>
      <c r="B26" s="14">
        <v>0</v>
      </c>
      <c r="C26" s="14">
        <v>0</v>
      </c>
      <c r="D26" s="14">
        <v>0</v>
      </c>
      <c r="E26" s="13">
        <v>0</v>
      </c>
      <c r="F26" s="13">
        <v>0</v>
      </c>
      <c r="G26" s="13">
        <v>0</v>
      </c>
      <c r="H26" s="3">
        <v>0</v>
      </c>
      <c r="I26" s="5">
        <v>0</v>
      </c>
      <c r="J26" s="20">
        <v>0</v>
      </c>
      <c r="K26" s="7">
        <v>0</v>
      </c>
      <c r="L26" s="17">
        <v>0</v>
      </c>
      <c r="M26" s="18">
        <v>1</v>
      </c>
      <c r="N26" s="18">
        <v>0</v>
      </c>
      <c r="O26" s="18">
        <v>1</v>
      </c>
      <c r="P26" s="18">
        <v>0</v>
      </c>
      <c r="Q26" s="51">
        <v>1</v>
      </c>
      <c r="R26" s="6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12">
        <v>0</v>
      </c>
      <c r="AC26" s="12">
        <v>0</v>
      </c>
      <c r="AD26" s="12">
        <v>0</v>
      </c>
      <c r="AE26" s="15">
        <v>0</v>
      </c>
      <c r="AF26" s="15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3">
        <v>0</v>
      </c>
      <c r="AM26" s="3">
        <v>0</v>
      </c>
      <c r="AN26" s="3">
        <v>0</v>
      </c>
      <c r="AO26" s="3">
        <v>0</v>
      </c>
      <c r="AP26" s="3">
        <v>1</v>
      </c>
      <c r="AQ26" s="3">
        <v>0</v>
      </c>
      <c r="AR26" s="3">
        <v>1</v>
      </c>
      <c r="AS26" s="3">
        <v>1</v>
      </c>
      <c r="AT26" s="3">
        <v>0</v>
      </c>
      <c r="AU26" s="3">
        <v>0</v>
      </c>
      <c r="AV26" s="3" t="str">
        <f t="shared" si="0"/>
        <v>000</v>
      </c>
      <c r="AW26" s="3" t="str">
        <f t="shared" si="1"/>
        <v>000</v>
      </c>
      <c r="AX26" s="3" t="str">
        <f t="shared" si="2"/>
        <v>02C</v>
      </c>
      <c r="AY26" s="15" t="str">
        <f>BIN2HEX(CONCATENATE(M26,N26,O26,P26,Q26),2)</f>
        <v>15</v>
      </c>
    </row>
    <row r="27" spans="1:51" ht="18" customHeight="1" x14ac:dyDescent="0.25">
      <c r="A27" s="19" t="s">
        <v>54</v>
      </c>
      <c r="B27" s="14">
        <v>0</v>
      </c>
      <c r="C27" s="14">
        <v>0</v>
      </c>
      <c r="D27" s="14">
        <v>0</v>
      </c>
      <c r="E27" s="13">
        <v>0</v>
      </c>
      <c r="F27" s="13">
        <v>0</v>
      </c>
      <c r="G27" s="13">
        <v>0</v>
      </c>
      <c r="H27" s="3">
        <v>0</v>
      </c>
      <c r="I27" s="5">
        <v>0</v>
      </c>
      <c r="J27" s="20">
        <v>0</v>
      </c>
      <c r="K27" s="7">
        <v>0</v>
      </c>
      <c r="L27" s="17">
        <v>0</v>
      </c>
      <c r="M27" s="18">
        <v>1</v>
      </c>
      <c r="N27" s="18">
        <v>0</v>
      </c>
      <c r="O27" s="18">
        <v>1</v>
      </c>
      <c r="P27" s="18">
        <v>1</v>
      </c>
      <c r="Q27" s="51">
        <v>0</v>
      </c>
      <c r="R27" s="6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12">
        <v>0</v>
      </c>
      <c r="AC27" s="12">
        <v>0</v>
      </c>
      <c r="AD27" s="12">
        <v>0</v>
      </c>
      <c r="AE27" s="15">
        <v>0</v>
      </c>
      <c r="AF27" s="15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3">
        <v>0</v>
      </c>
      <c r="AM27" s="3">
        <v>0</v>
      </c>
      <c r="AN27" s="3">
        <v>0</v>
      </c>
      <c r="AO27" s="3">
        <v>0</v>
      </c>
      <c r="AP27" s="3">
        <v>1</v>
      </c>
      <c r="AQ27" s="3">
        <v>0</v>
      </c>
      <c r="AR27" s="3">
        <v>1</v>
      </c>
      <c r="AS27" s="3">
        <v>1</v>
      </c>
      <c r="AT27" s="3">
        <v>1</v>
      </c>
      <c r="AU27" s="3">
        <v>0</v>
      </c>
      <c r="AV27" s="3" t="str">
        <f t="shared" si="0"/>
        <v>000</v>
      </c>
      <c r="AW27" s="3" t="str">
        <f t="shared" si="1"/>
        <v>000</v>
      </c>
      <c r="AX27" s="3" t="str">
        <f t="shared" si="2"/>
        <v>02E</v>
      </c>
      <c r="AY27" s="15" t="str">
        <f>BIN2HEX(CONCATENATE(M27,N27,O27,P27,Q27),2)</f>
        <v>16</v>
      </c>
    </row>
    <row r="28" spans="1:51" ht="18" customHeight="1" x14ac:dyDescent="0.25">
      <c r="A28" s="19" t="s">
        <v>55</v>
      </c>
      <c r="B28" s="14">
        <v>0</v>
      </c>
      <c r="C28" s="14">
        <v>0</v>
      </c>
      <c r="D28" s="14">
        <v>0</v>
      </c>
      <c r="E28" s="13">
        <v>0</v>
      </c>
      <c r="F28" s="13">
        <v>0</v>
      </c>
      <c r="G28" s="13">
        <v>0</v>
      </c>
      <c r="H28" s="3">
        <v>0</v>
      </c>
      <c r="I28" s="5">
        <v>0</v>
      </c>
      <c r="J28" s="20">
        <v>0</v>
      </c>
      <c r="K28" s="7">
        <v>0</v>
      </c>
      <c r="L28" s="17">
        <v>0</v>
      </c>
      <c r="M28" s="18">
        <v>1</v>
      </c>
      <c r="N28" s="18">
        <v>0</v>
      </c>
      <c r="O28" s="18">
        <v>1</v>
      </c>
      <c r="P28" s="18">
        <v>1</v>
      </c>
      <c r="Q28" s="51">
        <v>1</v>
      </c>
      <c r="R28" s="6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12">
        <v>0</v>
      </c>
      <c r="AC28" s="12">
        <v>0</v>
      </c>
      <c r="AD28" s="12">
        <v>0</v>
      </c>
      <c r="AE28" s="15">
        <v>0</v>
      </c>
      <c r="AF28" s="15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1</v>
      </c>
      <c r="AR28" s="3">
        <v>1</v>
      </c>
      <c r="AS28" s="3">
        <v>1</v>
      </c>
      <c r="AT28" s="3">
        <v>0</v>
      </c>
      <c r="AU28" s="3">
        <v>0</v>
      </c>
      <c r="AV28" s="3" t="str">
        <f t="shared" si="0"/>
        <v>000</v>
      </c>
      <c r="AW28" s="3" t="str">
        <f t="shared" si="1"/>
        <v>000</v>
      </c>
      <c r="AX28" s="3" t="str">
        <f t="shared" si="2"/>
        <v>01C</v>
      </c>
      <c r="AY28" s="15" t="str">
        <f>BIN2HEX(CONCATENATE(M28,N28,O28,P28,Q28),2)</f>
        <v>17</v>
      </c>
    </row>
    <row r="29" spans="1:51" ht="18" customHeight="1" x14ac:dyDescent="0.25">
      <c r="A29" s="19" t="s">
        <v>50</v>
      </c>
      <c r="B29" s="14">
        <v>0</v>
      </c>
      <c r="C29" s="14">
        <v>0</v>
      </c>
      <c r="D29" s="14">
        <v>0</v>
      </c>
      <c r="E29" s="3">
        <v>0</v>
      </c>
      <c r="F29" s="3">
        <v>0</v>
      </c>
      <c r="G29" s="3">
        <v>0</v>
      </c>
      <c r="H29" s="3">
        <v>0</v>
      </c>
      <c r="I29" s="5">
        <v>0</v>
      </c>
      <c r="J29" s="20">
        <v>0</v>
      </c>
      <c r="K29" s="7">
        <v>0</v>
      </c>
      <c r="L29" s="17">
        <v>0</v>
      </c>
      <c r="M29" s="18">
        <v>1</v>
      </c>
      <c r="N29" s="18">
        <v>1</v>
      </c>
      <c r="O29" s="18">
        <v>0</v>
      </c>
      <c r="P29" s="18">
        <v>0</v>
      </c>
      <c r="Q29" s="51">
        <v>0</v>
      </c>
      <c r="R29" s="6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2">
        <v>0</v>
      </c>
      <c r="AC29" s="2">
        <v>0</v>
      </c>
      <c r="AD29" s="2">
        <v>0</v>
      </c>
      <c r="AE29" s="15">
        <v>0</v>
      </c>
      <c r="AF29" s="15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1</v>
      </c>
      <c r="AS29" s="3">
        <v>1</v>
      </c>
      <c r="AT29" s="3">
        <v>1</v>
      </c>
      <c r="AU29" s="3">
        <v>0</v>
      </c>
      <c r="AV29" s="3" t="str">
        <f t="shared" si="0"/>
        <v>000</v>
      </c>
      <c r="AW29" s="3" t="str">
        <f t="shared" si="1"/>
        <v>000</v>
      </c>
      <c r="AX29" s="3" t="str">
        <f t="shared" si="2"/>
        <v>00E</v>
      </c>
      <c r="AY29" s="15" t="str">
        <f>BIN2HEX(CONCATENATE(M29,N29,O29,P29,Q29),2)</f>
        <v>18</v>
      </c>
    </row>
    <row r="30" spans="1:51" ht="18" customHeight="1" x14ac:dyDescent="0.25">
      <c r="A30" s="19" t="s">
        <v>64</v>
      </c>
      <c r="B30" s="16">
        <v>0</v>
      </c>
      <c r="C30" s="16">
        <v>0</v>
      </c>
      <c r="D30" s="16">
        <v>0</v>
      </c>
      <c r="E30" s="3">
        <v>0</v>
      </c>
      <c r="F30" s="3">
        <v>0</v>
      </c>
      <c r="G30" s="3">
        <v>0</v>
      </c>
      <c r="H30" s="3">
        <v>0</v>
      </c>
      <c r="I30" s="5">
        <v>0</v>
      </c>
      <c r="J30" s="6">
        <v>0</v>
      </c>
      <c r="K30" s="3">
        <v>0</v>
      </c>
      <c r="L30" s="3">
        <v>0</v>
      </c>
      <c r="M30" s="18">
        <v>1</v>
      </c>
      <c r="N30" s="18">
        <v>1</v>
      </c>
      <c r="O30" s="18">
        <v>0</v>
      </c>
      <c r="P30" s="18">
        <v>0</v>
      </c>
      <c r="Q30" s="51">
        <v>1</v>
      </c>
      <c r="R30" s="6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2">
        <v>0</v>
      </c>
      <c r="AC30" s="2">
        <v>0</v>
      </c>
      <c r="AD30" s="2">
        <v>0</v>
      </c>
      <c r="AE30" s="15">
        <v>0</v>
      </c>
      <c r="AF30" s="15">
        <v>1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 t="str">
        <f t="shared" si="0"/>
        <v>000</v>
      </c>
      <c r="AW30" s="3" t="str">
        <f t="shared" si="1"/>
        <v>020</v>
      </c>
      <c r="AX30" s="3" t="str">
        <f t="shared" si="2"/>
        <v>000</v>
      </c>
      <c r="AY30" s="15" t="str">
        <f>BIN2HEX(CONCATENATE(M30,N30,O30,P30,Q30),2)</f>
        <v>19</v>
      </c>
    </row>
    <row r="31" spans="1:51" ht="18" customHeight="1" x14ac:dyDescent="0.25">
      <c r="A31" s="19" t="s">
        <v>59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5">
        <v>0</v>
      </c>
      <c r="J31" s="20">
        <v>0</v>
      </c>
      <c r="K31" s="7">
        <v>0</v>
      </c>
      <c r="L31" s="17">
        <v>0</v>
      </c>
      <c r="M31" s="18">
        <v>1</v>
      </c>
      <c r="N31" s="18">
        <v>1</v>
      </c>
      <c r="O31" s="18">
        <v>0</v>
      </c>
      <c r="P31" s="18">
        <v>1</v>
      </c>
      <c r="Q31" s="51">
        <v>0</v>
      </c>
      <c r="R31" s="6">
        <v>0</v>
      </c>
      <c r="S31" s="3">
        <v>0</v>
      </c>
      <c r="T31" s="3">
        <v>0</v>
      </c>
      <c r="U31" s="3">
        <v>0</v>
      </c>
      <c r="V31" s="3">
        <v>1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2">
        <v>0</v>
      </c>
      <c r="AC31" s="2">
        <v>0</v>
      </c>
      <c r="AD31" s="15">
        <v>0</v>
      </c>
      <c r="AE31" s="15">
        <v>1</v>
      </c>
      <c r="AF31" s="15">
        <v>1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 t="str">
        <f t="shared" si="0"/>
        <v>020</v>
      </c>
      <c r="AW31" s="3" t="str">
        <f t="shared" si="1"/>
        <v>060</v>
      </c>
      <c r="AX31" s="3" t="str">
        <f t="shared" si="2"/>
        <v>000</v>
      </c>
      <c r="AY31" s="15" t="str">
        <f>BIN2HEX(CONCATENATE(M31,N31,O31,P31,Q31),2)</f>
        <v>1A</v>
      </c>
    </row>
    <row r="32" spans="1:51" ht="18" customHeight="1" x14ac:dyDescent="0.25">
      <c r="A32" s="19" t="s">
        <v>63</v>
      </c>
      <c r="B32" s="16">
        <v>0</v>
      </c>
      <c r="C32" s="16">
        <v>0</v>
      </c>
      <c r="D32" s="16">
        <v>0</v>
      </c>
      <c r="E32" s="3">
        <v>0</v>
      </c>
      <c r="F32" s="3">
        <v>0</v>
      </c>
      <c r="G32" s="3">
        <v>0</v>
      </c>
      <c r="H32" s="3">
        <v>0</v>
      </c>
      <c r="I32" s="5">
        <v>0</v>
      </c>
      <c r="J32" s="6">
        <v>0</v>
      </c>
      <c r="K32" s="3">
        <v>0</v>
      </c>
      <c r="L32" s="3">
        <v>0</v>
      </c>
      <c r="M32" s="18">
        <v>1</v>
      </c>
      <c r="N32" s="18">
        <v>1</v>
      </c>
      <c r="O32" s="18">
        <v>0</v>
      </c>
      <c r="P32" s="18">
        <v>1</v>
      </c>
      <c r="Q32" s="51">
        <v>1</v>
      </c>
      <c r="R32" s="6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2">
        <v>0</v>
      </c>
      <c r="AC32" s="2">
        <v>0</v>
      </c>
      <c r="AD32" s="15">
        <v>1</v>
      </c>
      <c r="AE32" s="15">
        <v>0</v>
      </c>
      <c r="AF32" s="15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 t="str">
        <f t="shared" si="0"/>
        <v>000</v>
      </c>
      <c r="AW32" s="3" t="str">
        <f t="shared" si="1"/>
        <v>080</v>
      </c>
      <c r="AX32" s="3" t="str">
        <f t="shared" si="2"/>
        <v>000</v>
      </c>
      <c r="AY32" s="15" t="str">
        <f>BIN2HEX(CONCATENATE(M32,N32,O32,P32,Q32),2)</f>
        <v>1B</v>
      </c>
    </row>
    <row r="33" spans="1:51" ht="18" customHeight="1" x14ac:dyDescent="0.25">
      <c r="A33" s="4"/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5">
        <v>0</v>
      </c>
      <c r="J33" s="6">
        <v>0</v>
      </c>
      <c r="K33" s="3">
        <v>0</v>
      </c>
      <c r="L33" s="3">
        <v>0</v>
      </c>
      <c r="M33" s="18">
        <v>1</v>
      </c>
      <c r="N33" s="18">
        <v>1</v>
      </c>
      <c r="O33" s="18">
        <v>1</v>
      </c>
      <c r="P33" s="18">
        <v>0</v>
      </c>
      <c r="Q33" s="51">
        <v>0</v>
      </c>
      <c r="R33" s="6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2">
        <v>0</v>
      </c>
      <c r="AC33" s="2">
        <v>0</v>
      </c>
      <c r="AD33" s="2">
        <v>0</v>
      </c>
      <c r="AE33" s="15">
        <v>0</v>
      </c>
      <c r="AF33" s="15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 t="str">
        <f t="shared" si="0"/>
        <v>000</v>
      </c>
      <c r="AW33" s="3" t="str">
        <f t="shared" si="1"/>
        <v>000</v>
      </c>
      <c r="AX33" s="3" t="str">
        <f t="shared" si="2"/>
        <v>000</v>
      </c>
      <c r="AY33" s="15" t="str">
        <f>BIN2HEX(CONCATENATE(M33,N33,O33,P33,Q33),2)</f>
        <v>1C</v>
      </c>
    </row>
    <row r="34" spans="1:51" ht="18" customHeight="1" x14ac:dyDescent="0.25">
      <c r="A34" s="4"/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5">
        <v>0</v>
      </c>
      <c r="J34" s="6">
        <v>0</v>
      </c>
      <c r="K34" s="3">
        <v>0</v>
      </c>
      <c r="L34" s="3">
        <v>0</v>
      </c>
      <c r="M34" s="18">
        <v>1</v>
      </c>
      <c r="N34" s="18">
        <v>1</v>
      </c>
      <c r="O34" s="18">
        <v>1</v>
      </c>
      <c r="P34" s="18">
        <v>0</v>
      </c>
      <c r="Q34" s="51">
        <v>1</v>
      </c>
      <c r="R34" s="6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2">
        <v>0</v>
      </c>
      <c r="AC34" s="2">
        <v>0</v>
      </c>
      <c r="AD34" s="2">
        <v>0</v>
      </c>
      <c r="AE34" s="15">
        <v>0</v>
      </c>
      <c r="AF34" s="15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 t="str">
        <f t="shared" si="0"/>
        <v>000</v>
      </c>
      <c r="AW34" s="3" t="str">
        <f t="shared" si="1"/>
        <v>000</v>
      </c>
      <c r="AX34" s="3" t="str">
        <f t="shared" si="2"/>
        <v>000</v>
      </c>
      <c r="AY34" s="15" t="str">
        <f>BIN2HEX(CONCATENATE(M34,N34,O34,P34,Q34),2)</f>
        <v>1D</v>
      </c>
    </row>
    <row r="35" spans="1:51" ht="18" customHeight="1" x14ac:dyDescent="0.25">
      <c r="A35" s="4"/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5">
        <v>0</v>
      </c>
      <c r="J35" s="6">
        <v>0</v>
      </c>
      <c r="K35" s="3">
        <v>0</v>
      </c>
      <c r="L35" s="3">
        <v>0</v>
      </c>
      <c r="M35" s="18">
        <v>1</v>
      </c>
      <c r="N35" s="18">
        <v>1</v>
      </c>
      <c r="O35" s="18">
        <v>1</v>
      </c>
      <c r="P35" s="18">
        <v>1</v>
      </c>
      <c r="Q35" s="51">
        <v>0</v>
      </c>
      <c r="R35" s="6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2">
        <v>0</v>
      </c>
      <c r="AC35" s="2">
        <v>0</v>
      </c>
      <c r="AD35" s="2">
        <v>0</v>
      </c>
      <c r="AE35" s="15">
        <v>0</v>
      </c>
      <c r="AF35" s="15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 t="str">
        <f t="shared" si="0"/>
        <v>000</v>
      </c>
      <c r="AW35" s="3" t="str">
        <f t="shared" si="1"/>
        <v>000</v>
      </c>
      <c r="AX35" s="3" t="str">
        <f t="shared" si="2"/>
        <v>000</v>
      </c>
      <c r="AY35" s="15" t="str">
        <f>BIN2HEX(CONCATENATE(M35,N35,O35,P35,Q35),2)</f>
        <v>1E</v>
      </c>
    </row>
    <row r="36" spans="1:51" ht="18" customHeight="1" x14ac:dyDescent="0.3">
      <c r="A36" s="11"/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5">
        <v>0</v>
      </c>
      <c r="J36" s="6">
        <v>0</v>
      </c>
      <c r="K36" s="3">
        <v>0</v>
      </c>
      <c r="L36" s="3">
        <v>0</v>
      </c>
      <c r="M36" s="18">
        <v>1</v>
      </c>
      <c r="N36" s="18">
        <v>1</v>
      </c>
      <c r="O36" s="18">
        <v>1</v>
      </c>
      <c r="P36" s="18">
        <v>1</v>
      </c>
      <c r="Q36" s="51">
        <v>1</v>
      </c>
      <c r="R36" s="6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 t="str">
        <f t="shared" si="0"/>
        <v>000</v>
      </c>
      <c r="AW36" s="3" t="str">
        <f t="shared" si="1"/>
        <v>000</v>
      </c>
      <c r="AX36" s="3" t="str">
        <f t="shared" si="2"/>
        <v>000</v>
      </c>
      <c r="AY36" s="15" t="str">
        <f>BIN2HEX(CONCATENATE(M36,N36,O36,P36,Q36),2)</f>
        <v>1F</v>
      </c>
    </row>
    <row r="37" spans="1:51" s="24" customFormat="1" ht="18" customHeight="1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</row>
    <row r="38" spans="1:51" s="24" customFormat="1" ht="18" customHeight="1" x14ac:dyDescent="0.25">
      <c r="A38" s="21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</row>
    <row r="39" spans="1:51" s="24" customFormat="1" ht="18" customHeight="1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</row>
    <row r="40" spans="1:51" s="24" customFormat="1" ht="18" customHeight="1" x14ac:dyDescent="0.25">
      <c r="A40" s="21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</row>
    <row r="41" spans="1:51" s="24" customFormat="1" ht="18" customHeight="1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</row>
    <row r="42" spans="1:51" s="24" customFormat="1" ht="18" customHeight="1" x14ac:dyDescent="0.25">
      <c r="A42" s="21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</row>
    <row r="43" spans="1:51" s="24" customFormat="1" ht="18" customHeight="1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</row>
    <row r="44" spans="1:51" s="24" customFormat="1" ht="18" customHeight="1" x14ac:dyDescent="0.25">
      <c r="A44" s="21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</row>
    <row r="45" spans="1:51" s="24" customFormat="1" ht="18" customHeight="1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</row>
    <row r="46" spans="1:51" s="24" customFormat="1" ht="18" customHeight="1" x14ac:dyDescent="0.25">
      <c r="A46" s="21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</row>
    <row r="47" spans="1:51" s="24" customFormat="1" ht="18" customHeight="1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</row>
    <row r="48" spans="1:51" s="24" customFormat="1" ht="18" customHeight="1" x14ac:dyDescent="0.25">
      <c r="A48" s="21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</row>
    <row r="49" spans="1:50" s="24" customFormat="1" ht="18" customHeight="1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</row>
    <row r="50" spans="1:50" s="24" customFormat="1" ht="18" customHeight="1" x14ac:dyDescent="0.25">
      <c r="A50" s="21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</row>
    <row r="51" spans="1:50" s="24" customFormat="1" ht="18" customHeight="1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</row>
    <row r="52" spans="1:50" s="24" customFormat="1" ht="18" customHeight="1" x14ac:dyDescent="0.25">
      <c r="A52" s="21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</row>
    <row r="53" spans="1:50" s="24" customFormat="1" ht="18" customHeight="1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</row>
    <row r="54" spans="1:50" s="24" customFormat="1" ht="18" customHeight="1" x14ac:dyDescent="0.25">
      <c r="A54" s="21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</row>
    <row r="55" spans="1:50" s="24" customFormat="1" ht="18" customHeight="1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</row>
    <row r="56" spans="1:50" s="24" customFormat="1" ht="18" customHeight="1" x14ac:dyDescent="0.25">
      <c r="A56" s="21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</row>
    <row r="57" spans="1:50" s="24" customFormat="1" ht="18" customHeight="1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</row>
    <row r="58" spans="1:50" s="24" customFormat="1" ht="18" customHeight="1" x14ac:dyDescent="0.25">
      <c r="A58" s="21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</row>
    <row r="59" spans="1:50" s="24" customFormat="1" ht="18" customHeight="1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</row>
    <row r="60" spans="1:50" s="24" customFormat="1" ht="18" customHeight="1" x14ac:dyDescent="0.25">
      <c r="A60" s="21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</row>
    <row r="61" spans="1:50" s="24" customFormat="1" ht="18" customHeight="1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</row>
    <row r="62" spans="1:50" s="24" customFormat="1" ht="18" customHeight="1" x14ac:dyDescent="0.25">
      <c r="A62" s="21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</row>
    <row r="63" spans="1:50" s="24" customFormat="1" ht="18" customHeight="1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</row>
    <row r="64" spans="1:50" s="24" customFormat="1" ht="18" customHeight="1" x14ac:dyDescent="0.25">
      <c r="A64" s="21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</row>
    <row r="65" spans="1:50" s="24" customFormat="1" ht="18" customHeight="1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</row>
    <row r="66" spans="1:50" s="24" customFormat="1" ht="18" customHeight="1" x14ac:dyDescent="0.25">
      <c r="A66" s="21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</row>
    <row r="67" spans="1:50" s="24" customFormat="1" ht="18" customHeight="1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</row>
    <row r="68" spans="1:50" s="24" customFormat="1" ht="18" customHeight="1" x14ac:dyDescent="0.25">
      <c r="A68" s="21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</row>
    <row r="69" spans="1:50" s="24" customFormat="1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</row>
    <row r="70" spans="1:50" s="24" customFormat="1" x14ac:dyDescent="0.25">
      <c r="A70" s="21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</row>
    <row r="71" spans="1:50" s="24" customFormat="1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</row>
    <row r="72" spans="1:50" s="24" customFormat="1" x14ac:dyDescent="0.25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</row>
    <row r="73" spans="1:50" s="24" customFormat="1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</row>
    <row r="74" spans="1:50" s="24" customFormat="1" x14ac:dyDescent="0.25">
      <c r="A74" s="21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</row>
    <row r="75" spans="1:50" s="24" customFormat="1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</row>
    <row r="76" spans="1:50" s="24" customFormat="1" x14ac:dyDescent="0.25">
      <c r="A76" s="21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</row>
    <row r="77" spans="1:50" s="24" customFormat="1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</row>
    <row r="78" spans="1:50" s="24" customFormat="1" x14ac:dyDescent="0.25">
      <c r="A78" s="21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</row>
    <row r="79" spans="1:50" x14ac:dyDescent="0.25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</row>
    <row r="80" spans="1:50" x14ac:dyDescent="0.25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</row>
  </sheetData>
  <mergeCells count="58">
    <mergeCell ref="M3:M4"/>
    <mergeCell ref="AP3:AP4"/>
    <mergeCell ref="AQ3:AQ4"/>
    <mergeCell ref="AR3:AR4"/>
    <mergeCell ref="AS3:AS4"/>
    <mergeCell ref="AN3:AN4"/>
    <mergeCell ref="H3:H4"/>
    <mergeCell ref="I3:I4"/>
    <mergeCell ref="J3:J4"/>
    <mergeCell ref="K3:K4"/>
    <mergeCell ref="L3:L4"/>
    <mergeCell ref="AX1:AX4"/>
    <mergeCell ref="AW1:AW4"/>
    <mergeCell ref="AV1:AV4"/>
    <mergeCell ref="AL1:AU1"/>
    <mergeCell ref="AL3:AL4"/>
    <mergeCell ref="AM3:AM4"/>
    <mergeCell ref="AT3:AT4"/>
    <mergeCell ref="AU3:AU4"/>
    <mergeCell ref="AO3:AO4"/>
    <mergeCell ref="AE3:AE4"/>
    <mergeCell ref="AF3:AF4"/>
    <mergeCell ref="AG3:AG4"/>
    <mergeCell ref="AH3:AH4"/>
    <mergeCell ref="AI3:AI4"/>
    <mergeCell ref="AJ3:AJ4"/>
    <mergeCell ref="AA3:AA4"/>
    <mergeCell ref="Z3:Z4"/>
    <mergeCell ref="AD3:AD4"/>
    <mergeCell ref="AB1:AK1"/>
    <mergeCell ref="R1:AA1"/>
    <mergeCell ref="S3:S4"/>
    <mergeCell ref="R3:R4"/>
    <mergeCell ref="AB3:AB4"/>
    <mergeCell ref="AC3:AC4"/>
    <mergeCell ref="V3:V4"/>
    <mergeCell ref="W3:W4"/>
    <mergeCell ref="X3:X4"/>
    <mergeCell ref="Y3:Y4"/>
    <mergeCell ref="T3:T4"/>
    <mergeCell ref="U3:U4"/>
    <mergeCell ref="AK3:AK4"/>
    <mergeCell ref="M1:Q1"/>
    <mergeCell ref="J1:L1"/>
    <mergeCell ref="A1:A4"/>
    <mergeCell ref="AY1:AY4"/>
    <mergeCell ref="B3:B4"/>
    <mergeCell ref="C3:C4"/>
    <mergeCell ref="E1:G1"/>
    <mergeCell ref="B1:D1"/>
    <mergeCell ref="D3:D4"/>
    <mergeCell ref="E3:E4"/>
    <mergeCell ref="F3:F4"/>
    <mergeCell ref="G3:G4"/>
    <mergeCell ref="N3:N4"/>
    <mergeCell ref="O3:O4"/>
    <mergeCell ref="P3:P4"/>
    <mergeCell ref="Q3:Q4"/>
  </mergeCells>
  <phoneticPr fontId="1" type="noConversion"/>
  <conditionalFormatting sqref="B10:G13 E7:J7 E8:G9 M11:Q12 B31:G31 H8:I32 B5:Q5 B6:J6 M6:Q8 K6:L7 J9:Q10 J13:Q13 B37:K68 B33:J36 J32 K32:Q36 B14:D19 J30:L30 M14:Q31 E29:G30 R5:AU68 E32:G32">
    <cfRule type="cellIs" dxfId="29" priority="245" operator="equal">
      <formula>1</formula>
    </cfRule>
    <cfRule type="cellIs" dxfId="28" priority="246" operator="equal">
      <formula>1</formula>
    </cfRule>
  </conditionalFormatting>
  <conditionalFormatting sqref="B10:G13 E7:J7 E8:G9 M11:Q12 B31:G31 H8:I32 B5:Q5 B6:J6 M6:Q8 K6:L7 J9:Q10 J13:Q13 B37:K68 B33:J36 J32 K32:Q36 B14:D19 J30:L30 M14:Q31 E29:G30 R5:AU68 E32:G32">
    <cfRule type="cellIs" dxfId="27" priority="244" operator="equal">
      <formula>1</formula>
    </cfRule>
  </conditionalFormatting>
  <conditionalFormatting sqref="B24:G28">
    <cfRule type="cellIs" dxfId="26" priority="35" operator="equal">
      <formula>1</formula>
    </cfRule>
    <cfRule type="cellIs" dxfId="25" priority="36" operator="equal">
      <formula>1</formula>
    </cfRule>
  </conditionalFormatting>
  <conditionalFormatting sqref="B24:G28">
    <cfRule type="cellIs" dxfId="24" priority="34" operator="equal">
      <formula>1</formula>
    </cfRule>
  </conditionalFormatting>
  <conditionalFormatting sqref="B21:G23">
    <cfRule type="cellIs" dxfId="23" priority="32" operator="equal">
      <formula>1</formula>
    </cfRule>
    <cfRule type="cellIs" dxfId="22" priority="33" operator="equal">
      <formula>1</formula>
    </cfRule>
  </conditionalFormatting>
  <conditionalFormatting sqref="B21:G23">
    <cfRule type="cellIs" dxfId="21" priority="31" operator="equal">
      <formula>1</formula>
    </cfRule>
  </conditionalFormatting>
  <conditionalFormatting sqref="B20:G20 J14:L29 E14:G19">
    <cfRule type="cellIs" dxfId="20" priority="29" operator="equal">
      <formula>1</formula>
    </cfRule>
    <cfRule type="cellIs" dxfId="19" priority="30" operator="equal">
      <formula>1</formula>
    </cfRule>
  </conditionalFormatting>
  <conditionalFormatting sqref="B20:G20 J14:L29 E14:G19">
    <cfRule type="cellIs" dxfId="18" priority="28" operator="equal">
      <formula>1</formula>
    </cfRule>
  </conditionalFormatting>
  <conditionalFormatting sqref="J11:L12">
    <cfRule type="cellIs" dxfId="17" priority="26" operator="equal">
      <formula>1</formula>
    </cfRule>
    <cfRule type="cellIs" dxfId="16" priority="27" operator="equal">
      <formula>1</formula>
    </cfRule>
  </conditionalFormatting>
  <conditionalFormatting sqref="J11:L12">
    <cfRule type="cellIs" dxfId="15" priority="25" operator="equal">
      <formula>1</formula>
    </cfRule>
  </conditionalFormatting>
  <conditionalFormatting sqref="B7:D9">
    <cfRule type="cellIs" dxfId="14" priority="20" operator="equal">
      <formula>1</formula>
    </cfRule>
    <cfRule type="cellIs" dxfId="13" priority="21" operator="equal">
      <formula>1</formula>
    </cfRule>
  </conditionalFormatting>
  <conditionalFormatting sqref="B7:D9">
    <cfRule type="cellIs" dxfId="12" priority="19" operator="equal">
      <formula>1</formula>
    </cfRule>
  </conditionalFormatting>
  <conditionalFormatting sqref="J8:L8">
    <cfRule type="cellIs" dxfId="11" priority="17" operator="equal">
      <formula>1</formula>
    </cfRule>
    <cfRule type="cellIs" dxfId="10" priority="18" operator="equal">
      <formula>1</formula>
    </cfRule>
  </conditionalFormatting>
  <conditionalFormatting sqref="J8:L8">
    <cfRule type="cellIs" dxfId="9" priority="16" operator="equal">
      <formula>1</formula>
    </cfRule>
  </conditionalFormatting>
  <conditionalFormatting sqref="B29:D30">
    <cfRule type="cellIs" dxfId="8" priority="14" operator="equal">
      <formula>1</formula>
    </cfRule>
    <cfRule type="cellIs" dxfId="7" priority="15" operator="equal">
      <formula>1</formula>
    </cfRule>
  </conditionalFormatting>
  <conditionalFormatting sqref="B29:D30">
    <cfRule type="cellIs" dxfId="6" priority="13" operator="equal">
      <formula>1</formula>
    </cfRule>
  </conditionalFormatting>
  <conditionalFormatting sqref="J31:L31">
    <cfRule type="cellIs" dxfId="5" priority="5" operator="equal">
      <formula>1</formula>
    </cfRule>
    <cfRule type="cellIs" dxfId="4" priority="6" operator="equal">
      <formula>1</formula>
    </cfRule>
  </conditionalFormatting>
  <conditionalFormatting sqref="J31:L31">
    <cfRule type="cellIs" dxfId="3" priority="4" operator="equal">
      <formula>1</formula>
    </cfRule>
  </conditionalFormatting>
  <conditionalFormatting sqref="B32:D32">
    <cfRule type="cellIs" dxfId="2" priority="2" operator="equal">
      <formula>1</formula>
    </cfRule>
    <cfRule type="cellIs" dxfId="1" priority="3" operator="equal">
      <formula>1</formula>
    </cfRule>
  </conditionalFormatting>
  <conditionalFormatting sqref="B32:D32">
    <cfRule type="cellIs" dxfId="0" priority="1" operator="equal">
      <formula>1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0BFA6-C973-457A-9FB2-F98FFE07AF5C}">
  <dimension ref="A1:B8"/>
  <sheetViews>
    <sheetView workbookViewId="0">
      <selection activeCell="B1" sqref="B1:B8"/>
    </sheetView>
  </sheetViews>
  <sheetFormatPr defaultRowHeight="15" x14ac:dyDescent="0.25"/>
  <sheetData>
    <row r="1" spans="1:2" x14ac:dyDescent="0.25">
      <c r="A1" t="s">
        <v>12</v>
      </c>
      <c r="B1" t="str">
        <f>HEX2BIN(A1,8)</f>
        <v>00011101</v>
      </c>
    </row>
    <row r="2" spans="1:2" x14ac:dyDescent="0.25">
      <c r="A2">
        <v>65</v>
      </c>
      <c r="B2" t="str">
        <f t="shared" ref="B2:B8" si="0">HEX2BIN(A2,8)</f>
        <v>01100101</v>
      </c>
    </row>
    <row r="3" spans="1:2" x14ac:dyDescent="0.25">
      <c r="A3">
        <v>0</v>
      </c>
      <c r="B3" t="str">
        <f t="shared" si="0"/>
        <v>00000000</v>
      </c>
    </row>
    <row r="4" spans="1:2" x14ac:dyDescent="0.25">
      <c r="A4">
        <v>0</v>
      </c>
      <c r="B4" t="str">
        <f t="shared" si="0"/>
        <v>00000000</v>
      </c>
    </row>
    <row r="5" spans="1:2" x14ac:dyDescent="0.25">
      <c r="A5" t="s">
        <v>13</v>
      </c>
      <c r="B5" t="str">
        <f t="shared" si="0"/>
        <v>00011110</v>
      </c>
    </row>
    <row r="6" spans="1:2" x14ac:dyDescent="0.25">
      <c r="A6">
        <v>5</v>
      </c>
      <c r="B6" t="str">
        <f t="shared" si="0"/>
        <v>00000101</v>
      </c>
    </row>
    <row r="7" spans="1:2" x14ac:dyDescent="0.25">
      <c r="A7">
        <v>0</v>
      </c>
      <c r="B7" t="str">
        <f t="shared" si="0"/>
        <v>00000000</v>
      </c>
    </row>
    <row r="8" spans="1:2" x14ac:dyDescent="0.25">
      <c r="A8">
        <v>0</v>
      </c>
      <c r="B8" t="str">
        <f t="shared" si="0"/>
        <v>00000000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2021-01-28T01:49:58Z</dcterms:created>
  <dcterms:modified xsi:type="dcterms:W3CDTF">2021-04-28T05:01:19Z</dcterms:modified>
</cp:coreProperties>
</file>